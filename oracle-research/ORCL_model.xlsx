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Historicals" sheetId="3" state="visible" r:id="rId3"/>
    <sheet xmlns:r="http://schemas.openxmlformats.org/officeDocument/2006/relationships" name="RPO_Schedule" sheetId="4" state="visible" r:id="rId4"/>
    <sheet xmlns:r="http://schemas.openxmlformats.org/officeDocument/2006/relationships" name="Capex_Depreciation" sheetId="5" state="visible" r:id="rId5"/>
    <sheet xmlns:r="http://schemas.openxmlformats.org/officeDocument/2006/relationships" name="Income_Statement" sheetId="6" state="visible" r:id="rId6"/>
    <sheet xmlns:r="http://schemas.openxmlformats.org/officeDocument/2006/relationships" name="NonGAAP_Recon" sheetId="7" state="visible" r:id="rId7"/>
    <sheet xmlns:r="http://schemas.openxmlformats.org/officeDocument/2006/relationships" name="Cash_Flow" sheetId="8" state="visible" r:id="rId8"/>
    <sheet xmlns:r="http://schemas.openxmlformats.org/officeDocument/2006/relationships" name="Debt_Shares" sheetId="9" state="visible" r:id="rId9"/>
    <sheet xmlns:r="http://schemas.openxmlformats.org/officeDocument/2006/relationships" name="Valuation_RPO_NPV" sheetId="10" state="visible" r:id="rId10"/>
    <sheet xmlns:r="http://schemas.openxmlformats.org/officeDocument/2006/relationships" name="Valuation_DCF" sheetId="11" state="visible" r:id="rId11"/>
    <sheet xmlns:r="http://schemas.openxmlformats.org/officeDocument/2006/relationships" name="Sensitivity" sheetId="12" state="visible" r:id="rId12"/>
    <sheet xmlns:r="http://schemas.openxmlformats.org/officeDocument/2006/relationships" name="ROIC_Breakeven" sheetId="13" state="visible" r:id="rId13"/>
    <sheet xmlns:r="http://schemas.openxmlformats.org/officeDocument/2006/relationships" name="Comps_Software" sheetId="14" state="visible" r:id="rId14"/>
    <sheet xmlns:r="http://schemas.openxmlformats.org/officeDocument/2006/relationships" name="Comps_AI" sheetId="15" state="visible" r:id="rId15"/>
    <sheet xmlns:r="http://schemas.openxmlformats.org/officeDocument/2006/relationships" name="Formula_Audit" sheetId="16" state="visible" r:id="rId16"/>
  </sheets>
  <definedNames/>
  <calcPr calcId="124519" fullCalcOnLoad="1"/>
</workbook>
</file>

<file path=xl/styles.xml><?xml version="1.0" encoding="utf-8"?>
<styleSheet xmlns="http://schemas.openxmlformats.org/spreadsheetml/2006/main">
  <numFmts count="10">
    <numFmt numFmtId="164" formatCode="#,##0;(#,##0);-"/>
    <numFmt numFmtId="165" formatCode="0.0%;(0.0%);-"/>
    <numFmt numFmtId="166" formatCode="0.0"/>
    <numFmt numFmtId="167" formatCode="0.00%;(0.00%);-"/>
    <numFmt numFmtId="168" formatCode="$#,##0.00;($#,##0.00);-"/>
    <numFmt numFmtId="169" formatCode="$#,##0;($#,##0);-"/>
    <numFmt numFmtId="170" formatCode="0.000"/>
    <numFmt numFmtId="171" formatCode="0.0x"/>
    <numFmt numFmtId="172" formatCode="+0.0%;-0.0%;0.0%"/>
    <numFmt numFmtId="173" formatCode="$#,##0.00"/>
  </numFmts>
  <fonts count="10">
    <font>
      <name val="Calibri"/>
      <family val="2"/>
      <color theme="1"/>
      <sz val="11"/>
      <scheme val="minor"/>
    </font>
    <font>
      <name val="Arial"/>
      <b val="1"/>
      <sz val="13"/>
    </font>
    <font>
      <name val="Arial"/>
      <sz val="10"/>
    </font>
    <font>
      <name val="Arial"/>
      <b val="1"/>
      <color rgb="00444444"/>
      <sz val="10"/>
    </font>
    <font>
      <name val="Arial"/>
      <i val="1"/>
      <color rgb="00666666"/>
      <sz val="8"/>
    </font>
    <font>
      <name val="Arial"/>
      <b val="1"/>
      <sz val="10"/>
    </font>
    <font>
      <name val="Arial"/>
      <color rgb="000000FF"/>
      <sz val="10"/>
    </font>
    <font>
      <name val="Arial"/>
      <b val="1"/>
      <color rgb="00FFFFFF"/>
      <sz val="10"/>
    </font>
    <font>
      <name val="Arial"/>
      <color rgb="00008000"/>
      <sz val="10"/>
    </font>
    <font>
      <name val="Arial"/>
      <b val="1"/>
      <color rgb="00C00000"/>
      <sz val="10"/>
    </font>
  </fonts>
  <fills count="5">
    <fill>
      <patternFill/>
    </fill>
    <fill>
      <patternFill patternType="gray125"/>
    </fill>
    <fill>
      <patternFill patternType="solid">
        <fgColor rgb="00FFFF00"/>
      </patternFill>
    </fill>
    <fill>
      <patternFill patternType="solid">
        <fgColor rgb="001F3864"/>
      </patternFill>
    </fill>
    <fill>
      <patternFill patternType="solid">
        <fgColor rgb="00E8E8E8"/>
      </patternFill>
    </fill>
  </fills>
  <borders count="1">
    <border>
      <left/>
      <right/>
      <top/>
      <bottom/>
      <diagonal/>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7" fillId="3" borderId="0" applyAlignment="1" pivotButton="0" quotePrefix="0" xfId="0">
      <alignment horizontal="left"/>
    </xf>
    <xf numFmtId="0" fontId="7" fillId="3" borderId="0" applyAlignment="1" pivotButton="0" quotePrefix="0" xfId="0">
      <alignment horizontal="center"/>
    </xf>
    <xf numFmtId="0" fontId="3" fillId="4" borderId="0" pivotButton="0" quotePrefix="0" xfId="0"/>
    <xf numFmtId="0" fontId="0" fillId="4" borderId="0" pivotButton="0" quotePrefix="0" xfId="0"/>
    <xf numFmtId="164" fontId="2" fillId="0" borderId="0" pivotButton="0" quotePrefix="0" xfId="0"/>
    <xf numFmtId="0" fontId="4" fillId="0" borderId="0" applyAlignment="1" pivotButton="0" quotePrefix="0" xfId="0">
      <alignment vertical="top" wrapText="1"/>
    </xf>
    <xf numFmtId="165" fontId="2" fillId="0" borderId="0" pivotButton="0" quotePrefix="0" xfId="0"/>
    <xf numFmtId="165" fontId="2" fillId="2" borderId="0" pivotButton="0" quotePrefix="0" xfId="0"/>
    <xf numFmtId="0" fontId="0" fillId="2" borderId="0" pivotButton="0" quotePrefix="0" xfId="0"/>
    <xf numFmtId="164" fontId="2" fillId="2" borderId="0" pivotButton="0" quotePrefix="0" xfId="0"/>
    <xf numFmtId="2" fontId="2" fillId="2" borderId="0" pivotButton="0" quotePrefix="0" xfId="0"/>
    <xf numFmtId="166" fontId="2" fillId="0" borderId="0" pivotButton="0" quotePrefix="0" xfId="0"/>
    <xf numFmtId="167" fontId="2" fillId="0" borderId="0" pivotButton="0" quotePrefix="0" xfId="0"/>
    <xf numFmtId="168" fontId="2" fillId="0" borderId="0" pivotButton="0" quotePrefix="0" xfId="0"/>
    <xf numFmtId="167" fontId="2" fillId="2" borderId="0" pivotButton="0" quotePrefix="0" xfId="0"/>
    <xf numFmtId="0" fontId="5" fillId="0" borderId="0" applyAlignment="1" pivotButton="0" quotePrefix="0" xfId="0">
      <alignment horizontal="left"/>
    </xf>
    <xf numFmtId="0" fontId="5" fillId="0" borderId="0" applyAlignment="1" pivotButton="0" quotePrefix="0" xfId="0">
      <alignment horizontal="center"/>
    </xf>
    <xf numFmtId="164" fontId="6" fillId="0" borderId="0" pivotButton="0" quotePrefix="0" xfId="0"/>
    <xf numFmtId="165" fontId="6" fillId="0" borderId="0" pivotButton="0" quotePrefix="0" xfId="0"/>
    <xf numFmtId="2" fontId="6"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69" fontId="2" fillId="0" borderId="0" pivotButton="0" quotePrefix="0" xfId="0"/>
    <xf numFmtId="165" fontId="6" fillId="2" borderId="0" pivotButton="0" quotePrefix="0" xfId="0"/>
    <xf numFmtId="169" fontId="8" fillId="0" borderId="0" pivotButton="0" quotePrefix="0" xfId="0"/>
    <xf numFmtId="165" fontId="8" fillId="2" borderId="0" pivotButton="0" quotePrefix="0" xfId="0"/>
    <xf numFmtId="165" fontId="8" fillId="0" borderId="0" pivotButton="0" quotePrefix="0" xfId="0"/>
    <xf numFmtId="169" fontId="8" fillId="2" borderId="0" pivotButton="0" quotePrefix="0" xfId="0"/>
    <xf numFmtId="0" fontId="4" fillId="0" borderId="0" pivotButton="0" quotePrefix="0" xfId="0"/>
    <xf numFmtId="170" fontId="2" fillId="0" borderId="0" pivotButton="0" quotePrefix="0" xfId="0"/>
    <xf numFmtId="169" fontId="2" fillId="2" borderId="0" pivotButton="0" quotePrefix="0" xfId="0"/>
    <xf numFmtId="164" fontId="8" fillId="0" borderId="0" pivotButton="0" quotePrefix="0" xfId="0"/>
    <xf numFmtId="168" fontId="6" fillId="2" borderId="0" pivotButton="0" quotePrefix="0" xfId="0"/>
    <xf numFmtId="168" fontId="8" fillId="0" borderId="0" pivotButton="0" quotePrefix="0" xfId="0"/>
    <xf numFmtId="171" fontId="2" fillId="0" borderId="0" pivotButton="0" quotePrefix="0" xfId="0"/>
    <xf numFmtId="171" fontId="2" fillId="2" borderId="0" pivotButton="0" quotePrefix="0" xfId="0"/>
    <xf numFmtId="0" fontId="7" fillId="3" borderId="0" pivotButton="0" quotePrefix="0" xfId="0"/>
    <xf numFmtId="0" fontId="0" fillId="3" borderId="0" pivotButton="0" quotePrefix="0" xfId="0"/>
    <xf numFmtId="2" fontId="6" fillId="2" borderId="0" pivotButton="0" quotePrefix="0" xfId="0"/>
    <xf numFmtId="167" fontId="8" fillId="0" borderId="0" pivotButton="0" quotePrefix="0" xfId="0"/>
    <xf numFmtId="2" fontId="8" fillId="0" borderId="0" pivotButton="0" quotePrefix="0" xfId="0"/>
    <xf numFmtId="168" fontId="2" fillId="2" borderId="0" pivotButton="0" quotePrefix="0" xfId="0"/>
    <xf numFmtId="167" fontId="6" fillId="2" borderId="0" pivotButton="0" quotePrefix="0" xfId="0"/>
    <xf numFmtId="166" fontId="4" fillId="0" borderId="0" pivotButton="0" quotePrefix="0" xfId="0"/>
    <xf numFmtId="172" fontId="6" fillId="0" borderId="0" pivotButton="0" quotePrefix="0" xfId="0"/>
    <xf numFmtId="165" fontId="5" fillId="0" borderId="0" pivotButton="0" quotePrefix="0" xfId="0"/>
    <xf numFmtId="167" fontId="5" fillId="0" borderId="0" pivotButton="0" quotePrefix="0" xfId="0"/>
    <xf numFmtId="0" fontId="7" fillId="3" borderId="0" applyAlignment="1" pivotButton="0" quotePrefix="0" xfId="0">
      <alignment horizontal="center" wrapText="1"/>
    </xf>
    <xf numFmtId="0" fontId="4" fillId="0" borderId="0" applyAlignment="1" pivotButton="0" quotePrefix="0" xfId="0">
      <alignment horizontal="center"/>
    </xf>
    <xf numFmtId="0" fontId="9" fillId="0" borderId="0" pivotButton="0" quotePrefix="0" xfId="0"/>
    <xf numFmtId="1" fontId="9" fillId="0" borderId="0" pivotButton="0" quotePrefix="0" xfId="0"/>
    <xf numFmtId="173" fontId="9" fillId="0" borderId="0" pivotButton="0" quotePrefix="0" xfId="0"/>
    <xf numFmtId="169" fontId="9" fillId="0" borderId="0" pivotButton="0" quotePrefix="0" xfId="0"/>
    <xf numFmtId="171" fontId="9" fillId="0" borderId="0" pivotButton="0" quotePrefix="0" xfId="0"/>
    <xf numFmtId="0" fontId="9" fillId="0" borderId="0" applyAlignment="1" pivotButton="0" quotePrefix="0" xfId="0">
      <alignment horizontal="center"/>
    </xf>
    <xf numFmtId="165" fontId="9" fillId="0" borderId="0" pivotButton="0" quotePrefix="0" xfId="0"/>
    <xf numFmtId="2" fontId="9" fillId="0" borderId="0" pivotButton="0" quotePrefix="0" xfId="0"/>
    <xf numFmtId="0" fontId="6" fillId="0" borderId="0" pivotButton="0" quotePrefix="0" xfId="0"/>
    <xf numFmtId="1" fontId="6" fillId="0" borderId="0" pivotButton="0" quotePrefix="0" xfId="0"/>
    <xf numFmtId="173" fontId="6" fillId="0" borderId="0" pivotButton="0" quotePrefix="0" xfId="0"/>
    <xf numFmtId="171" fontId="6" fillId="0" borderId="0" pivotButton="0" quotePrefix="0" xfId="0"/>
    <xf numFmtId="171" fontId="5" fillId="0" borderId="0" pivotButton="0" quotePrefix="0" xfId="0"/>
    <xf numFmtId="0"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showGridLines="0" workbookViewId="0">
      <selection activeCell="A1" sqref="A1"/>
    </sheetView>
  </sheetViews>
  <sheetFormatPr baseColWidth="8" defaultRowHeight="15"/>
  <cols>
    <col width="30" customWidth="1" min="1" max="1"/>
    <col width="110" customWidth="1" min="2" max="2"/>
  </cols>
  <sheetData>
    <row r="1">
      <c r="A1" s="1" t="inlineStr">
        <is>
          <t>Oracle Corporation (ORCL) — independent forecast &amp; valuation model</t>
        </is>
      </c>
    </row>
    <row r="4">
      <c r="A4" s="2" t="inlineStr"/>
      <c r="B4" s="3" t="inlineStr"/>
    </row>
    <row r="5">
      <c r="A5" s="2" t="inlineStr">
        <is>
          <t>Prepared for</t>
        </is>
      </c>
      <c r="B5" s="3" t="inlineStr">
        <is>
          <t>Joshua Lacroix</t>
        </is>
      </c>
    </row>
    <row r="6">
      <c r="A6" s="2" t="inlineStr">
        <is>
          <t>Prepared by</t>
        </is>
      </c>
      <c r="B6" s="3" t="inlineStr">
        <is>
          <t>Independent build (Claude Code). Not investment advice.</t>
        </is>
      </c>
    </row>
    <row r="7">
      <c r="A7" s="2" t="inlineStr">
        <is>
          <t>Model date</t>
        </is>
      </c>
      <c r="B7" s="3" t="inlineStr">
        <is>
          <t>2026-08-28</t>
        </is>
      </c>
    </row>
    <row r="8">
      <c r="A8" s="2" t="inlineStr">
        <is>
          <t>Market data as of</t>
        </is>
      </c>
      <c r="B8" s="3" t="inlineStr">
        <is>
          <t>2026-08-27 close. ORCL $151.94.</t>
        </is>
      </c>
    </row>
    <row r="9">
      <c r="A9" s="2" t="inlineStr"/>
      <c r="B9" s="3" t="inlineStr"/>
    </row>
    <row r="10">
      <c r="A10" s="4" t="inlineStr">
        <is>
          <t>PRIMARY SOURCES</t>
        </is>
      </c>
      <c r="B10" s="3" t="inlineStr"/>
    </row>
    <row r="11">
      <c r="A11" s="2" t="inlineStr">
        <is>
          <t>FY2026 Form 10-K</t>
        </is>
      </c>
      <c r="B11" s="3" t="inlineStr">
        <is>
          <t>SEC EDGAR CIK 0001341439, accession 0001193125-26-277521, filed 2026-06-22, FYE 2026-05-31</t>
        </is>
      </c>
    </row>
    <row r="12">
      <c r="A12" s="2" t="inlineStr">
        <is>
          <t>Q4/FY26 press release</t>
        </is>
      </c>
      <c r="B12" s="3" t="inlineStr">
        <is>
          <t>Exhibit 99.1 to Form 8-K filed 2026-06-10, accession 0001193125-26-265848</t>
        </is>
      </c>
    </row>
    <row r="13">
      <c r="A13" s="2" t="inlineStr">
        <is>
          <t>Market / comps data</t>
        </is>
      </c>
      <c r="B13" s="3" t="inlineStr">
        <is>
          <t>stockanalysis.com, pulled 2026-08-27/28 (single source, single date)</t>
        </is>
      </c>
    </row>
    <row r="14">
      <c r="A14" s="2" t="inlineStr">
        <is>
          <t>Risk-free rate</t>
        </is>
      </c>
      <c r="B14" s="3" t="inlineStr">
        <is>
          <t>10-year US Treasury (^TNX) 4.672%, 2026-08-27</t>
        </is>
      </c>
    </row>
    <row r="15">
      <c r="A15" s="2" t="inlineStr"/>
      <c r="B15" s="3" t="inlineStr"/>
    </row>
    <row r="16">
      <c r="A16" s="4" t="inlineStr">
        <is>
          <t>WHAT IS *NOT* SOURCED HERE</t>
        </is>
      </c>
      <c r="B16" s="3" t="inlineStr"/>
    </row>
    <row r="17">
      <c r="A17" s="2" t="inlineStr">
        <is>
          <t>Q4 FY26 slide deck / call transcript</t>
        </is>
      </c>
      <c r="B17" s="3" t="inlineStr">
        <is>
          <t>investor.oracle.com returned HTTP 403. Any figure originating only from the call (FY27 net capex ~$70bn, "no additional debt in calendar 2026", component cost pass-through) is flagged UNVERIFIED SECONDARY and is NOT used as a model input.</t>
        </is>
      </c>
    </row>
    <row r="18">
      <c r="A18" s="2" t="inlineStr">
        <is>
          <t>FY2028+ consensus</t>
        </is>
      </c>
      <c r="B18" s="3" t="inlineStr">
        <is>
          <t>Paywalled at source. FY28 estimates in this model are the analyst's own, not consensus.</t>
        </is>
      </c>
    </row>
    <row r="19">
      <c r="A19" s="2" t="inlineStr"/>
      <c r="B19" s="3" t="inlineStr"/>
    </row>
    <row r="20">
      <c r="A20" s="4" t="inlineStr">
        <is>
          <t>COLOUR LEGEND</t>
        </is>
      </c>
      <c r="B20" s="3" t="inlineStr"/>
    </row>
    <row r="21">
      <c r="A21" s="2" t="inlineStr">
        <is>
          <t>Blue text</t>
        </is>
      </c>
      <c r="B21" s="3" t="inlineStr">
        <is>
          <t>Hardcoded input / scenario lever — edit these</t>
        </is>
      </c>
    </row>
    <row r="22">
      <c r="A22" s="2" t="inlineStr">
        <is>
          <t>Black text</t>
        </is>
      </c>
      <c r="B22" s="3" t="inlineStr">
        <is>
          <t>Formula calculated on this sheet</t>
        </is>
      </c>
    </row>
    <row r="23">
      <c r="A23" s="2" t="inlineStr">
        <is>
          <t>Green text</t>
        </is>
      </c>
      <c r="B23" s="3" t="inlineStr">
        <is>
          <t>Link to another sheet in this workbook</t>
        </is>
      </c>
    </row>
    <row r="24">
      <c r="A24" s="2" t="inlineStr">
        <is>
          <t>Yellow fill</t>
        </is>
      </c>
      <c r="B24" s="3" t="inlineStr">
        <is>
          <t>Key assumption. The answer is most sensitive to these.</t>
        </is>
      </c>
    </row>
    <row r="25">
      <c r="A25" s="2" t="inlineStr"/>
      <c r="B25" s="3" t="inlineStr"/>
    </row>
    <row r="26">
      <c r="A26" s="4" t="inlineStr">
        <is>
          <t>HOW TO DRIVE THE MODEL</t>
        </is>
      </c>
      <c r="B26" s="3" t="inlineStr"/>
    </row>
    <row r="27">
      <c r="A27" s="2" t="inlineStr">
        <is>
          <t>1.</t>
        </is>
      </c>
      <c r="B27" s="3" t="inlineStr">
        <is>
          <t>Set the scenario on Inputs!B4 to Base, Bull or Bear. Everything downstream re-solves.</t>
        </is>
      </c>
    </row>
    <row r="28">
      <c r="A28" s="2" t="inlineStr">
        <is>
          <t>2.</t>
        </is>
      </c>
      <c r="B28" s="3" t="inlineStr">
        <is>
          <t>Edit any blue cell in the BASE / BULL / BEAR blocks on the Inputs tab. Never edit a black cell.</t>
        </is>
      </c>
    </row>
    <row r="29">
      <c r="A29" s="2" t="inlineStr">
        <is>
          <t>3.</t>
        </is>
      </c>
      <c r="B29" s="3" t="inlineStr">
        <is>
          <t>Every driver row carries a source note in column J of the Inputs tab.</t>
        </is>
      </c>
    </row>
    <row r="30">
      <c r="A30" s="2" t="inlineStr"/>
      <c r="B30" s="3" t="inlineStr"/>
    </row>
    <row r="31">
      <c r="A31" s="4" t="inlineStr">
        <is>
          <t>TAB MAP</t>
        </is>
      </c>
      <c r="B31" s="3" t="inlineStr"/>
    </row>
    <row r="32">
      <c r="A32" s="2" t="inlineStr">
        <is>
          <t>Inputs</t>
        </is>
      </c>
      <c r="B32" s="3" t="inlineStr">
        <is>
          <t>All drivers, three scenarios, with source notes</t>
        </is>
      </c>
    </row>
    <row r="33">
      <c r="A33" s="2" t="inlineStr">
        <is>
          <t>Historicals</t>
        </is>
      </c>
      <c r="B33" s="3" t="inlineStr">
        <is>
          <t>FY2024–FY2026 actuals, every line tied to the 10-K</t>
        </is>
      </c>
    </row>
    <row r="34">
      <c r="A34" s="2" t="inlineStr">
        <is>
          <t>RPO_Schedule</t>
        </is>
      </c>
      <c r="B34" s="3" t="inlineStr">
        <is>
          <t>The disclosed 12% / 34% / 34% / 20% conversion schedule and the revenue build off it</t>
        </is>
      </c>
    </row>
    <row r="35">
      <c r="A35" s="2" t="inlineStr">
        <is>
          <t>Capex_Depreciation</t>
        </is>
      </c>
      <c r="B35" s="3" t="inlineStr">
        <is>
          <t>Capex→CIP→in-service→depreciation vintage waterfall. The most important mechanical tab.</t>
        </is>
      </c>
    </row>
    <row r="36">
      <c r="A36" s="2" t="inlineStr">
        <is>
          <t>Income_Statement</t>
        </is>
      </c>
      <c r="B36" s="3" t="inlineStr">
        <is>
          <t>FY24A–FY31E, GAAP</t>
        </is>
      </c>
    </row>
    <row r="37">
      <c r="A37" s="2" t="inlineStr">
        <is>
          <t>NonGAAP_Recon</t>
        </is>
      </c>
      <c r="B37" s="3" t="inlineStr">
        <is>
          <t>Full GAAP↔non-GAAP bridge including the tax-rate wedge</t>
        </is>
      </c>
    </row>
    <row r="38">
      <c r="A38" s="2" t="inlineStr">
        <is>
          <t>Cash_Flow</t>
        </is>
      </c>
      <c r="B38" s="3" t="inlineStr">
        <is>
          <t>OCF, capex (three definitions), FCF</t>
        </is>
      </c>
    </row>
    <row r="39">
      <c r="A39" s="2" t="inlineStr">
        <is>
          <t>Debt_Shares</t>
        </is>
      </c>
      <c r="B39" s="3" t="inlineStr">
        <is>
          <t>Debt schedule, interest, share count, ATM, mandatory convertible</t>
        </is>
      </c>
    </row>
    <row r="40">
      <c r="A40" s="2" t="inlineStr">
        <is>
          <t>Valuation_RPO_NPV</t>
        </is>
      </c>
      <c r="B40" s="3" t="inlineStr">
        <is>
          <t>PRIMARY valuation: contract-level NPV of the $638bn backlog</t>
        </is>
      </c>
    </row>
    <row r="41">
      <c r="A41" s="2" t="inlineStr">
        <is>
          <t>Valuation_DCF</t>
        </is>
      </c>
      <c r="B41" s="3" t="inlineStr">
        <is>
          <t>Cross-check: unlevered FCF DCF and FCFE</t>
        </is>
      </c>
    </row>
    <row r="42">
      <c r="A42" s="2" t="inlineStr">
        <is>
          <t>Sensitivity</t>
        </is>
      </c>
      <c r="B42" s="3" t="inlineStr">
        <is>
          <t>Two-way tables and driver ranking</t>
        </is>
      </c>
    </row>
    <row r="43">
      <c r="A43" s="2" t="inlineStr">
        <is>
          <t>ROIC_Breakeven</t>
        </is>
      </c>
      <c r="B43" s="3" t="inlineStr">
        <is>
          <t>Required OCI gross margin to clear WACC. The central question.</t>
        </is>
      </c>
    </row>
    <row r="44">
      <c r="A44" s="2" t="inlineStr">
        <is>
          <t>Comps_Software</t>
        </is>
      </c>
      <c r="B44" s="3" t="inlineStr">
        <is>
          <t>Enterprise software comp set, calendarised</t>
        </is>
      </c>
    </row>
    <row r="45">
      <c r="A45" s="2" t="inlineStr">
        <is>
          <t>Comps_AI</t>
        </is>
      </c>
      <c r="B45" s="3" t="inlineStr">
        <is>
          <t>AI infrastructure comp set, calendarised</t>
        </is>
      </c>
    </row>
    <row r="46">
      <c r="A46" s="2" t="inlineStr">
        <is>
          <t>Formula_Audit</t>
        </is>
      </c>
      <c r="B46" s="3" t="inlineStr">
        <is>
          <t>Every simplification, circularity break and known limitation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8"/>
  <sheetViews>
    <sheetView showGridLines="0" workbookViewId="0">
      <selection activeCell="A1" sqref="A1"/>
    </sheetView>
  </sheetViews>
  <sheetFormatPr baseColWidth="8" defaultRowHeight="15"/>
  <cols>
    <col width="48" customWidth="1" min="1" max="1"/>
    <col width="13" customWidth="1" min="2" max="2"/>
    <col width="12" customWidth="1" min="3" max="3"/>
    <col width="12" customWidth="1" min="4" max="4"/>
    <col width="12" customWidth="1" min="5" max="5"/>
    <col width="12" customWidth="1" min="6" max="6"/>
    <col width="12" customWidth="1" min="7" max="7"/>
    <col width="95" customWidth="1" min="10" max="10"/>
  </cols>
  <sheetData>
    <row r="1">
      <c r="A1" s="1" t="inlineStr">
        <is>
          <t>INPUTS — every driver, three scenarios</t>
        </is>
      </c>
    </row>
    <row r="2">
      <c r="A2" s="38" t="inlineStr">
        <is>
          <t>Blue = editable. Column J carries the source or the basis for the estimate. E = analyst estimate, D = disclosed by Oracle.</t>
        </is>
      </c>
    </row>
    <row r="4">
      <c r="A4" s="6" t="inlineStr">
        <is>
          <t>SCENARIO</t>
        </is>
      </c>
      <c r="B4" s="7" t="inlineStr">
        <is>
          <t>Base</t>
        </is>
      </c>
      <c r="C4" s="38" t="inlineStr">
        <is>
          <t>&lt;- type Base, Bull or Bear</t>
        </is>
      </c>
    </row>
    <row r="5">
      <c r="A5" s="38" t="inlineStr">
        <is>
          <t>scenario index</t>
        </is>
      </c>
      <c r="B5" s="2">
        <f>MATCH($B$4,$A$996:$A$998,0)</f>
        <v/>
      </c>
    </row>
    <row r="7">
      <c r="A7" s="8" t="inlineStr">
        <is>
          <t>Driver</t>
        </is>
      </c>
      <c r="B7" s="9" t="inlineStr">
        <is>
          <t>ACTIVE (single)</t>
        </is>
      </c>
      <c r="C7" s="9" t="inlineStr">
        <is>
          <t>FY2027</t>
        </is>
      </c>
      <c r="D7" s="9" t="inlineStr">
        <is>
          <t>FY2028</t>
        </is>
      </c>
      <c r="E7" s="9" t="inlineStr">
        <is>
          <t>FY2029</t>
        </is>
      </c>
      <c r="F7" s="9" t="inlineStr">
        <is>
          <t>FY2030</t>
        </is>
      </c>
      <c r="G7" s="9" t="inlineStr">
        <is>
          <t>FY2031</t>
        </is>
      </c>
      <c r="H7" s="9" t="inlineStr"/>
      <c r="I7" s="9" t="inlineStr"/>
      <c r="J7" s="9" t="inlineStr">
        <is>
          <t>Source / basis  (D = disclosed by Oracle, E = analyst estimate)</t>
        </is>
      </c>
    </row>
    <row r="8">
      <c r="A8" s="10" t="inlineStr">
        <is>
          <t>— RPO CONVERSION —</t>
        </is>
      </c>
      <c r="B8" s="11" t="n"/>
      <c r="C8" s="11" t="n"/>
      <c r="D8" s="11" t="n"/>
      <c r="E8" s="11" t="n"/>
      <c r="F8" s="11" t="n"/>
      <c r="G8" s="11" t="n"/>
      <c r="H8" s="11" t="n"/>
      <c r="I8" s="11" t="n"/>
      <c r="J8" s="11" t="n"/>
    </row>
    <row r="9">
      <c r="A9" s="2" t="inlineStr">
        <is>
          <t>RPO at 5/31/2026 ($m)</t>
        </is>
      </c>
      <c r="B9" s="12">
        <f>CHOOSE($B$5,B201,B321,B441)</f>
        <v/>
      </c>
      <c r="J9" s="13" t="inlineStr">
        <is>
          <t>D: 10-K Note 1 &amp; MD&amp;A. $638bn vs $137.8bn at 5/31/25.</t>
        </is>
      </c>
    </row>
    <row r="10">
      <c r="A10" s="2" t="inlineStr">
        <is>
          <t>Disclosed: recognised over next 12 months</t>
        </is>
      </c>
      <c r="B10" s="14">
        <f>CHOOSE($B$5,B202,B322,B442)</f>
        <v/>
      </c>
      <c r="J10" s="13" t="inlineStr">
        <is>
          <t>D: 10-K Note 1 verbatim.</t>
        </is>
      </c>
    </row>
    <row r="11">
      <c r="A11" s="2" t="inlineStr">
        <is>
          <t>Disclosed: months 13–36</t>
        </is>
      </c>
      <c r="B11" s="14">
        <f>CHOOSE($B$5,B203,B323,B443)</f>
        <v/>
      </c>
      <c r="J11" s="13" t="inlineStr">
        <is>
          <t>D: 10-K Note 1 verbatim.</t>
        </is>
      </c>
    </row>
    <row r="12">
      <c r="A12" s="2" t="inlineStr">
        <is>
          <t>Disclosed: months 37–60</t>
        </is>
      </c>
      <c r="B12" s="14">
        <f>CHOOSE($B$5,B204,B324,B444)</f>
        <v/>
      </c>
      <c r="J12" s="13" t="inlineStr">
        <is>
          <t>D: 10-K Note 1 verbatim.</t>
        </is>
      </c>
    </row>
    <row r="13">
      <c r="A13" s="2" t="inlineStr">
        <is>
          <t>Disclosed: thereafter (residual)</t>
        </is>
      </c>
      <c r="B13" s="14">
        <f>CHOOSE($B$5,B205,B325,B445)</f>
        <v/>
      </c>
      <c r="J13" s="13" t="inlineStr">
        <is>
          <t>D: "and the remainder thereafter".</t>
        </is>
      </c>
    </row>
    <row r="14">
      <c r="A14" s="2" t="inlineStr">
        <is>
          <t>"Legacy" (pre-AI) backlog ($m)</t>
        </is>
      </c>
      <c r="B14" s="12">
        <f>CHOOSE($B$5,B206,B326,B446)</f>
        <v/>
      </c>
      <c r="J14" s="13" t="inlineStr">
        <is>
          <t>E: ≈ the 5/31/25 RPO of $137.8bn. Splits the backlog into fast-converting legacy and slow-converting AI.</t>
        </is>
      </c>
    </row>
    <row r="15">
      <c r="A15" s="2" t="inlineStr">
        <is>
          <t>AI backlog never recognised (counterparty)</t>
        </is>
      </c>
      <c r="B15" s="15">
        <f>CHOOSE($B$5,B207,B327,B447)</f>
        <v/>
      </c>
      <c r="C15" s="16" t="n"/>
      <c r="D15" s="16" t="n"/>
      <c r="E15" s="16" t="n"/>
      <c r="F15" s="16" t="n"/>
      <c r="G15" s="16" t="n"/>
      <c r="J15" s="13" t="inlineStr">
        <is>
          <t>E: KEY LEVER. 10-K discloses NO customer &gt;10% of revenue and does not quantify RPO concentration.</t>
        </is>
      </c>
    </row>
    <row r="16">
      <c r="A16" s="2" t="inlineStr">
        <is>
          <t>Legacy backlog conversion, % per year</t>
        </is>
      </c>
      <c r="C16" s="14">
        <f>CHOOSE($B$5,C208,C328,C448)</f>
        <v/>
      </c>
      <c r="D16" s="14">
        <f>CHOOSE($B$5,D208,D328,D448)</f>
        <v/>
      </c>
      <c r="E16" s="14">
        <f>CHOOSE($B$5,E208,E328,E448)</f>
        <v/>
      </c>
      <c r="F16" s="14">
        <f>CHOOSE($B$5,F208,F328,F448)</f>
        <v/>
      </c>
      <c r="G16" s="14">
        <f>CHOOSE($B$5,G208,G328,G448)</f>
        <v/>
      </c>
      <c r="J16" s="13" t="inlineStr">
        <is>
          <t>E: pre-AI RPO converted ~60–62% in 12 months when last tagged (FY2021 10-K).</t>
        </is>
      </c>
    </row>
    <row r="17">
      <c r="A17" s="2" t="inlineStr">
        <is>
          <t>Share of the m13–36 bucket falling in FY28</t>
        </is>
      </c>
      <c r="B17" s="14">
        <f>CHOOSE($B$5,B209,B329,B449)</f>
        <v/>
      </c>
      <c r="J17" s="13" t="inlineStr">
        <is>
          <t>E: intra-bucket timing. Oracle discloses the 24-month total only.</t>
        </is>
      </c>
    </row>
    <row r="18">
      <c r="A18" s="2" t="inlineStr">
        <is>
          <t>Share of the m37–60 bucket falling in FY30</t>
        </is>
      </c>
      <c r="B18" s="14">
        <f>CHOOSE($B$5,B210,B330,B450)</f>
        <v/>
      </c>
      <c r="J18" s="13" t="inlineStr">
        <is>
          <t>E: intra-bucket timing.</t>
        </is>
      </c>
    </row>
    <row r="19">
      <c r="A19" s="2" t="inlineStr">
        <is>
          <t>New bookings signed after 5/31/26 ($m)</t>
        </is>
      </c>
      <c r="B19" s="16" t="n"/>
      <c r="C19" s="17">
        <f>CHOOSE($B$5,C211,C331,C451)</f>
        <v/>
      </c>
      <c r="D19" s="17">
        <f>CHOOSE($B$5,D211,D331,D451)</f>
        <v/>
      </c>
      <c r="E19" s="17">
        <f>CHOOSE($B$5,E211,E331,E451)</f>
        <v/>
      </c>
      <c r="F19" s="17">
        <f>CHOOSE($B$5,F211,F331,F451)</f>
        <v/>
      </c>
      <c r="G19" s="17">
        <f>CHOOSE($B$5,G211,G331,G451)</f>
        <v/>
      </c>
      <c r="J19" s="13" t="inlineStr">
        <is>
          <t>E: PURE ESTIMATE. Dominates FY30–31. Oracle added ~$500bn of RPO in FY26 alone; not repeatable.</t>
        </is>
      </c>
    </row>
    <row r="20">
      <c r="A20" s="2" t="inlineStr">
        <is>
          <t>New-bookings conversion, % per year</t>
        </is>
      </c>
      <c r="C20" s="14">
        <f>CHOOSE($B$5,C212,C332,C452)</f>
        <v/>
      </c>
      <c r="D20" s="14">
        <f>CHOOSE($B$5,D212,D332,D452)</f>
        <v/>
      </c>
      <c r="E20" s="14">
        <f>CHOOSE($B$5,E212,E332,E452)</f>
        <v/>
      </c>
      <c r="F20" s="14">
        <f>CHOOSE($B$5,F212,F332,F452)</f>
        <v/>
      </c>
      <c r="G20" s="14">
        <f>CHOOSE($B$5,G212,G332,G452)</f>
        <v/>
      </c>
      <c r="J20" s="13" t="inlineStr">
        <is>
          <t>E: assumes new contracts convert on a similar back-loaded profile to the AI backlog.</t>
        </is>
      </c>
    </row>
    <row r="21">
      <c r="A21" s="2" t="inlineStr">
        <is>
          <t>Revenue not covered by RPO, FY27 ($m)</t>
        </is>
      </c>
      <c r="B21" s="12">
        <f>CHOOSE($B$5,B213,B333,B453)</f>
        <v/>
      </c>
      <c r="J21" s="13" t="inlineStr">
        <is>
          <t>E: hardware, non-committed consumption, some services/new licence.</t>
        </is>
      </c>
    </row>
    <row r="22">
      <c r="A22" s="2" t="inlineStr">
        <is>
          <t xml:space="preserve">  growth</t>
        </is>
      </c>
      <c r="B22" s="14">
        <f>CHOOSE($B$5,B214,B334,B454)</f>
        <v/>
      </c>
      <c r="J22" s="13" t="inlineStr">
        <is>
          <t>E.</t>
        </is>
      </c>
    </row>
    <row r="23">
      <c r="A23" s="10" t="inlineStr">
        <is>
          <t>— SEGMENT DRIVERS (IaaS is the residual) —</t>
        </is>
      </c>
      <c r="B23" s="11" t="n"/>
      <c r="C23" s="11" t="n"/>
      <c r="D23" s="11" t="n"/>
      <c r="E23" s="11" t="n"/>
      <c r="F23" s="11" t="n"/>
      <c r="G23" s="11" t="n"/>
      <c r="H23" s="11" t="n"/>
      <c r="I23" s="11" t="n"/>
      <c r="J23" s="11" t="n"/>
    </row>
    <row r="24">
      <c r="A24" s="2" t="inlineStr">
        <is>
          <t>Cloud Applications (SaaS) growth</t>
        </is>
      </c>
      <c r="C24" s="14">
        <f>CHOOSE($B$5,C216,C336,C456)</f>
        <v/>
      </c>
      <c r="D24" s="14">
        <f>CHOOSE($B$5,D216,D336,D456)</f>
        <v/>
      </c>
      <c r="E24" s="14">
        <f>CHOOSE($B$5,E216,E336,E456)</f>
        <v/>
      </c>
      <c r="F24" s="14">
        <f>CHOOSE($B$5,F216,F336,F456)</f>
        <v/>
      </c>
      <c r="G24" s="14">
        <f>CHOOSE($B$5,G216,G336,G456)</f>
        <v/>
      </c>
      <c r="J24" s="13" t="inlineStr">
        <is>
          <t>E: FY26A +11.3%. Mgmt guides Oracle Health to double-digit growth in FY27 (PR 6/10/26).</t>
        </is>
      </c>
    </row>
    <row r="25">
      <c r="A25" s="2" t="inlineStr">
        <is>
          <t>Software licence growth</t>
        </is>
      </c>
      <c r="C25" s="14">
        <f>CHOOSE($B$5,C217,C337,C457)</f>
        <v/>
      </c>
      <c r="D25" s="14">
        <f>CHOOSE($B$5,D217,D337,D457)</f>
        <v/>
      </c>
      <c r="E25" s="14">
        <f>CHOOSE($B$5,E217,E337,E457)</f>
        <v/>
      </c>
      <c r="F25" s="14">
        <f>CHOOSE($B$5,F217,F337,F457)</f>
        <v/>
      </c>
      <c r="G25" s="14">
        <f>CHOOSE($B$5,G217,G337,G457)</f>
        <v/>
      </c>
      <c r="J25" s="13" t="inlineStr">
        <is>
          <t>E: FY24–26A $5,081→$5,201→$4,737m, structurally declining.</t>
        </is>
      </c>
    </row>
    <row r="26">
      <c r="A26" s="2" t="inlineStr">
        <is>
          <t>Software support growth</t>
        </is>
      </c>
      <c r="C26" s="14">
        <f>CHOOSE($B$5,C218,C338,C458)</f>
        <v/>
      </c>
      <c r="D26" s="14">
        <f>CHOOSE($B$5,D218,D338,D458)</f>
        <v/>
      </c>
      <c r="E26" s="14">
        <f>CHOOSE($B$5,E218,E338,E458)</f>
        <v/>
      </c>
      <c r="F26" s="14">
        <f>CHOOSE($B$5,F218,F338,F458)</f>
        <v/>
      </c>
      <c r="G26" s="14">
        <f>CHOOSE($B$5,G218,G338,G458)</f>
        <v/>
      </c>
      <c r="J26" s="13" t="inlineStr">
        <is>
          <t>E: FY24–26A $19,609→$19,523→$19,804m. A genuine annuity.</t>
        </is>
      </c>
    </row>
    <row r="27">
      <c r="A27" s="2" t="inlineStr">
        <is>
          <t>Services growth</t>
        </is>
      </c>
      <c r="C27" s="14">
        <f>CHOOSE($B$5,C219,C339,C459)</f>
        <v/>
      </c>
      <c r="D27" s="14">
        <f>CHOOSE($B$5,D219,D339,D459)</f>
        <v/>
      </c>
      <c r="E27" s="14">
        <f>CHOOSE($B$5,E219,E339,E459)</f>
        <v/>
      </c>
      <c r="F27" s="14">
        <f>CHOOSE($B$5,F219,F339,F459)</f>
        <v/>
      </c>
      <c r="G27" s="14">
        <f>CHOOSE($B$5,G219,G339,G459)</f>
        <v/>
      </c>
      <c r="J27" s="13" t="inlineStr">
        <is>
          <t>E: FY26A +9.7%.</t>
        </is>
      </c>
    </row>
    <row r="28">
      <c r="A28" s="2" t="inlineStr">
        <is>
          <t>Hardware growth</t>
        </is>
      </c>
      <c r="C28" s="14">
        <f>CHOOSE($B$5,C220,C340,C460)</f>
        <v/>
      </c>
      <c r="D28" s="14">
        <f>CHOOSE($B$5,D220,D340,D460)</f>
        <v/>
      </c>
      <c r="E28" s="14">
        <f>CHOOSE($B$5,E220,E340,E460)</f>
        <v/>
      </c>
      <c r="F28" s="14">
        <f>CHOOSE($B$5,F220,F340,F460)</f>
        <v/>
      </c>
      <c r="G28" s="14">
        <f>CHOOSE($B$5,G220,G340,G460)</f>
        <v/>
      </c>
      <c r="J28" s="13" t="inlineStr">
        <is>
          <t>E: FY26A +5.0%.</t>
        </is>
      </c>
    </row>
    <row r="29">
      <c r="A29" s="10" t="inlineStr">
        <is>
          <t>— MARGINS —</t>
        </is>
      </c>
      <c r="B29" s="11" t="n"/>
      <c r="C29" s="11" t="n"/>
      <c r="D29" s="11" t="n"/>
      <c r="E29" s="11" t="n"/>
      <c r="F29" s="11" t="n"/>
      <c r="G29" s="11" t="n"/>
      <c r="H29" s="11" t="n"/>
      <c r="I29" s="11" t="n"/>
      <c r="J29" s="11" t="n"/>
    </row>
    <row r="30">
      <c r="A30" s="2" t="inlineStr">
        <is>
          <t>IaaS cost ex-depreciation, % of IaaS revenue</t>
        </is>
      </c>
      <c r="B30" s="16" t="n"/>
      <c r="C30" s="15">
        <f>CHOOSE($B$5,C222,C342,C462)</f>
        <v/>
      </c>
      <c r="D30" s="15">
        <f>CHOOSE($B$5,D222,D342,D462)</f>
        <v/>
      </c>
      <c r="E30" s="15">
        <f>CHOOSE($B$5,E222,E342,E462)</f>
        <v/>
      </c>
      <c r="F30" s="15">
        <f>CHOOSE($B$5,F222,F342,F462)</f>
        <v/>
      </c>
      <c r="G30" s="15">
        <f>CHOOSE($B$5,G222,G342,G462)</f>
        <v/>
      </c>
      <c r="J30" s="13" t="inlineStr">
        <is>
          <t>E: KEY LEVER. Power, bandwidth, site labour, component pass-through. Oracle does not disclose OCI cost structure.</t>
        </is>
      </c>
    </row>
    <row r="31">
      <c r="A31" s="2" t="inlineStr">
        <is>
          <t>Share of total depreciation charged to IaaS COGS</t>
        </is>
      </c>
      <c r="C31" s="14">
        <f>CHOOSE($B$5,C223,C343,C463)</f>
        <v/>
      </c>
      <c r="D31" s="14">
        <f>CHOOSE($B$5,D223,D343,D463)</f>
        <v/>
      </c>
      <c r="E31" s="14">
        <f>CHOOSE($B$5,E223,E343,E463)</f>
        <v/>
      </c>
      <c r="F31" s="14">
        <f>CHOOSE($B$5,F223,F343,F463)</f>
        <v/>
      </c>
      <c r="G31" s="14">
        <f>CHOOSE($B$5,G223,G343,G463)</f>
        <v/>
      </c>
      <c r="J31" s="13" t="inlineStr">
        <is>
          <t>E: not disclosed. Depreciation is inside cost of revenue as Oracle reports it.</t>
        </is>
      </c>
    </row>
    <row r="32">
      <c r="A32" s="2" t="inlineStr">
        <is>
          <t>SaaS gross margin</t>
        </is>
      </c>
      <c r="C32" s="14">
        <f>CHOOSE($B$5,C224,C344,C464)</f>
        <v/>
      </c>
      <c r="D32" s="14">
        <f>CHOOSE($B$5,D224,D344,D464)</f>
        <v/>
      </c>
      <c r="E32" s="14">
        <f>CHOOSE($B$5,E224,E344,E464)</f>
        <v/>
      </c>
      <c r="F32" s="14">
        <f>CHOOSE($B$5,F224,F344,F464)</f>
        <v/>
      </c>
      <c r="G32" s="14">
        <f>CHOOSE($B$5,G224,G344,G464)</f>
        <v/>
      </c>
      <c r="J32" s="13" t="inlineStr">
        <is>
          <t>E: not disclosed separately.</t>
        </is>
      </c>
    </row>
    <row r="33">
      <c r="A33" s="2" t="inlineStr">
        <is>
          <t>Software support gross margin</t>
        </is>
      </c>
      <c r="C33" s="14">
        <f>CHOOSE($B$5,C225,C345,C465)</f>
        <v/>
      </c>
      <c r="D33" s="14">
        <f>CHOOSE($B$5,D225,D345,D465)</f>
        <v/>
      </c>
      <c r="E33" s="14">
        <f>CHOOSE($B$5,E225,E345,E465)</f>
        <v/>
      </c>
      <c r="F33" s="14">
        <f>CHOOSE($B$5,F225,F345,F465)</f>
        <v/>
      </c>
      <c r="G33" s="14">
        <f>CHOOSE($B$5,G225,G345,G465)</f>
        <v/>
      </c>
      <c r="J33" s="13" t="inlineStr">
        <is>
          <t>E: not disclosed separately.</t>
        </is>
      </c>
    </row>
    <row r="34">
      <c r="A34" s="2" t="inlineStr">
        <is>
          <t>Software licence gross margin</t>
        </is>
      </c>
      <c r="C34" s="14">
        <f>CHOOSE($B$5,C226,C346,C466)</f>
        <v/>
      </c>
      <c r="D34" s="14">
        <f>CHOOSE($B$5,D226,D346,D466)</f>
        <v/>
      </c>
      <c r="E34" s="14">
        <f>CHOOSE($B$5,E226,E346,E466)</f>
        <v/>
      </c>
      <c r="F34" s="14">
        <f>CHOOSE($B$5,F226,F346,F466)</f>
        <v/>
      </c>
      <c r="G34" s="14">
        <f>CHOOSE($B$5,G226,G346,G466)</f>
        <v/>
      </c>
      <c r="J34" s="13" t="inlineStr">
        <is>
          <t>E: not disclosed separately.</t>
        </is>
      </c>
    </row>
    <row r="35">
      <c r="A35" s="2" t="inlineStr">
        <is>
          <t>Services gross margin</t>
        </is>
      </c>
      <c r="C35" s="14">
        <f>CHOOSE($B$5,C227,C347,C467)</f>
        <v/>
      </c>
      <c r="D35" s="14">
        <f>CHOOSE($B$5,D227,D347,D467)</f>
        <v/>
      </c>
      <c r="E35" s="14">
        <f>CHOOSE($B$5,E227,E347,E467)</f>
        <v/>
      </c>
      <c r="F35" s="14">
        <f>CHOOSE($B$5,F227,F347,F467)</f>
        <v/>
      </c>
      <c r="G35" s="14">
        <f>CHOOSE($B$5,G227,G347,G467)</f>
        <v/>
      </c>
      <c r="J35" s="13" t="inlineStr">
        <is>
          <t>D: FY26A 20.7% ($5,743m rev / $4,556m cost, 10-K R4).</t>
        </is>
      </c>
    </row>
    <row r="36">
      <c r="A36" s="2" t="inlineStr">
        <is>
          <t>Hardware gross margin</t>
        </is>
      </c>
      <c r="C36" s="14">
        <f>CHOOSE($B$5,C228,C348,C468)</f>
        <v/>
      </c>
      <c r="D36" s="14">
        <f>CHOOSE($B$5,D228,D348,D468)</f>
        <v/>
      </c>
      <c r="E36" s="14">
        <f>CHOOSE($B$5,E228,E348,E468)</f>
        <v/>
      </c>
      <c r="F36" s="14">
        <f>CHOOSE($B$5,F228,F348,F468)</f>
        <v/>
      </c>
      <c r="G36" s="14">
        <f>CHOOSE($B$5,G228,G348,G468)</f>
        <v/>
      </c>
      <c r="J36" s="13" t="inlineStr">
        <is>
          <t>D: FY26A 71.9% ($3,084m / $868m, 10-K R4).</t>
        </is>
      </c>
    </row>
    <row r="37">
      <c r="A37" s="10" t="inlineStr">
        <is>
          <t>— OPERATING EXPENSE —</t>
        </is>
      </c>
      <c r="B37" s="11" t="n"/>
      <c r="C37" s="11" t="n"/>
      <c r="D37" s="11" t="n"/>
      <c r="E37" s="11" t="n"/>
      <c r="F37" s="11" t="n"/>
      <c r="G37" s="11" t="n"/>
      <c r="H37" s="11" t="n"/>
      <c r="I37" s="11" t="n"/>
      <c r="J37" s="11" t="n"/>
    </row>
    <row r="38">
      <c r="A38" s="2" t="inlineStr">
        <is>
          <t>Sales &amp; marketing, % of revenue</t>
        </is>
      </c>
      <c r="B38" s="16" t="n"/>
      <c r="C38" s="15">
        <f>CHOOSE($B$5,C230,C350,C470)</f>
        <v/>
      </c>
      <c r="D38" s="15">
        <f>CHOOSE($B$5,D230,D350,D470)</f>
        <v/>
      </c>
      <c r="E38" s="15">
        <f>CHOOSE($B$5,E230,E350,E470)</f>
        <v/>
      </c>
      <c r="F38" s="15">
        <f>CHOOSE($B$5,F230,F350,F470)</f>
        <v/>
      </c>
      <c r="G38" s="15">
        <f>CHOOSE($B$5,G230,G350,G470)</f>
        <v/>
      </c>
      <c r="J38" s="13" t="inlineStr">
        <is>
          <t>E: FY26A 12.4%. Scale leverage as revenue steps up.</t>
        </is>
      </c>
    </row>
    <row r="39">
      <c r="A39" s="2" t="inlineStr">
        <is>
          <t>R&amp;D growth</t>
        </is>
      </c>
      <c r="C39" s="14">
        <f>CHOOSE($B$5,C231,C351,C471)</f>
        <v/>
      </c>
      <c r="D39" s="14">
        <f>CHOOSE($B$5,D231,D351,D471)</f>
        <v/>
      </c>
      <c r="E39" s="14">
        <f>CHOOSE($B$5,E231,E351,E471)</f>
        <v/>
      </c>
      <c r="F39" s="14">
        <f>CHOOSE($B$5,F231,F351,F471)</f>
        <v/>
      </c>
      <c r="G39" s="14">
        <f>CHOOSE($B$5,G231,G351,G471)</f>
        <v/>
      </c>
      <c r="J39" s="13" t="inlineStr">
        <is>
          <t>E: FY26A $10,272m, +4.2%. 43,000 of 141,000 employees are in R&amp;D (10-K Item 1).</t>
        </is>
      </c>
    </row>
    <row r="40">
      <c r="A40" s="2" t="inlineStr">
        <is>
          <t>G&amp;A growth</t>
        </is>
      </c>
      <c r="C40" s="14">
        <f>CHOOSE($B$5,C232,C352,C472)</f>
        <v/>
      </c>
      <c r="D40" s="14">
        <f>CHOOSE($B$5,D232,D352,D472)</f>
        <v/>
      </c>
      <c r="E40" s="14">
        <f>CHOOSE($B$5,E232,E352,E472)</f>
        <v/>
      </c>
      <c r="F40" s="14">
        <f>CHOOSE($B$5,F232,F352,F472)</f>
        <v/>
      </c>
      <c r="G40" s="14">
        <f>CHOOSE($B$5,G232,G352,G472)</f>
        <v/>
      </c>
      <c r="J40" s="13" t="inlineStr">
        <is>
          <t>E.</t>
        </is>
      </c>
    </row>
    <row r="41">
      <c r="A41" s="2" t="inlineStr">
        <is>
          <t>Stock-based compensation growth</t>
        </is>
      </c>
      <c r="C41" s="14">
        <f>CHOOSE($B$5,C233,C353,C473)</f>
        <v/>
      </c>
      <c r="D41" s="14">
        <f>CHOOSE($B$5,D233,D353,D473)</f>
        <v/>
      </c>
      <c r="E41" s="14">
        <f>CHOOSE($B$5,E233,E353,E473)</f>
        <v/>
      </c>
      <c r="F41" s="14">
        <f>CHOOSE($B$5,F233,F353,F473)</f>
        <v/>
      </c>
      <c r="G41" s="14">
        <f>CHOOSE($B$5,G233,G353,G473)</f>
        <v/>
      </c>
      <c r="J41" s="13" t="inlineStr">
        <is>
          <t>E: FY26A $4,811m. 10-K MD&amp;A: annualised net dilution 1.0%/yr since 6/1/2023.</t>
        </is>
      </c>
    </row>
    <row r="42">
      <c r="A42" s="2" t="inlineStr">
        <is>
          <t>Restructuring &amp; other ($m)</t>
        </is>
      </c>
      <c r="C42" s="12">
        <f>CHOOSE($B$5,C234,C354,C474)</f>
        <v/>
      </c>
      <c r="D42" s="12">
        <f>CHOOSE($B$5,D234,D354,D474)</f>
        <v/>
      </c>
      <c r="E42" s="12">
        <f>CHOOSE($B$5,E234,E354,E474)</f>
        <v/>
      </c>
      <c r="F42" s="12">
        <f>CHOOSE($B$5,F234,F354,F474)</f>
        <v/>
      </c>
      <c r="G42" s="12">
        <f>CHOOSE($B$5,G234,G354,G474)</f>
        <v/>
      </c>
      <c r="J42" s="13" t="inlineStr">
        <is>
          <t>E: FY26A $1,838m (headcount 154k→141k). 10-K R59.</t>
        </is>
      </c>
    </row>
    <row r="43">
      <c r="A43" s="2" t="inlineStr">
        <is>
          <t>Asset impairment ($m) — bear only</t>
        </is>
      </c>
      <c r="C43" s="12">
        <f>CHOOSE($B$5,C235,C355,C475)</f>
        <v/>
      </c>
      <c r="D43" s="12">
        <f>CHOOSE($B$5,D235,D355,D475)</f>
        <v/>
      </c>
      <c r="E43" s="12">
        <f>CHOOSE($B$5,E235,E355,E475)</f>
        <v/>
      </c>
      <c r="F43" s="12">
        <f>CHOOSE($B$5,F235,F355,F475)</f>
        <v/>
      </c>
      <c r="G43" s="12">
        <f>CHOOSE($B$5,G235,G355,G475)</f>
        <v/>
      </c>
      <c r="J43" s="13" t="inlineStr">
        <is>
          <t>E: bear case only. Written-down assets stop depreciating (relieved over 5 yrs).</t>
        </is>
      </c>
    </row>
    <row r="44">
      <c r="A44" s="2" t="inlineStr">
        <is>
          <t>Intangible amortisation ($m)</t>
        </is>
      </c>
      <c r="C44" s="12">
        <f>CHOOSE($B$5,C236,C356,C476)</f>
        <v/>
      </c>
      <c r="D44" s="12">
        <f>CHOOSE($B$5,D236,D356,D476)</f>
        <v/>
      </c>
      <c r="E44" s="12">
        <f>CHOOSE($B$5,E236,E356,E476)</f>
        <v/>
      </c>
      <c r="F44" s="12">
        <f>CHOOSE($B$5,F236,F356,F476)</f>
        <v/>
      </c>
      <c r="G44" s="12">
        <f>CHOOSE($B$5,G236,G356,G476)</f>
        <v/>
      </c>
      <c r="J44" s="13" t="inlineStr">
        <is>
          <t>D: 10-K R53 — the full forward schedule is disclosed. No estimate required.</t>
        </is>
      </c>
    </row>
    <row r="45">
      <c r="A45" s="10" t="inlineStr">
        <is>
          <t>— CAPEX / PP&amp;E (LINKED, not a % of revenue) —</t>
        </is>
      </c>
      <c r="B45" s="11" t="n"/>
      <c r="C45" s="11" t="n"/>
      <c r="D45" s="11" t="n"/>
      <c r="E45" s="11" t="n"/>
      <c r="F45" s="11" t="n"/>
      <c r="G45" s="11" t="n"/>
      <c r="H45" s="11" t="n"/>
      <c r="I45" s="11" t="n"/>
      <c r="J45" s="11" t="n"/>
    </row>
    <row r="46">
      <c r="A46" s="2" t="inlineStr">
        <is>
          <t>IaaS revenue per $ gross PP&amp;E at full utilisation</t>
        </is>
      </c>
      <c r="B46" s="18">
        <f>CHOOSE($B$5,B238,B358,B478)</f>
        <v/>
      </c>
      <c r="C46" s="16" t="n"/>
      <c r="D46" s="16" t="n"/>
      <c r="E46" s="16" t="n"/>
      <c r="F46" s="16" t="n"/>
      <c r="G46" s="16" t="n"/>
      <c r="J46" s="13" t="inlineStr">
        <is>
          <t>E: KEY LEVER. Not disclosed. FY26A implies ~0.27 on in-service PP&amp;E, but much of that base is legacy/non-OCI.</t>
        </is>
      </c>
    </row>
    <row r="47">
      <c r="A47" s="2" t="inlineStr">
        <is>
          <t>Utilisation of installed capacity</t>
        </is>
      </c>
      <c r="B47" s="16" t="n"/>
      <c r="C47" s="15">
        <f>CHOOSE($B$5,C239,C359,C479)</f>
        <v/>
      </c>
      <c r="D47" s="15">
        <f>CHOOSE($B$5,D239,D359,D479)</f>
        <v/>
      </c>
      <c r="E47" s="15">
        <f>CHOOSE($B$5,E239,E359,E479)</f>
        <v/>
      </c>
      <c r="F47" s="15">
        <f>CHOOSE($B$5,F239,F359,F479)</f>
        <v/>
      </c>
      <c r="G47" s="15">
        <f>CHOOSE($B$5,G239,G359,G479)</f>
        <v/>
      </c>
      <c r="J47" s="13" t="inlineStr">
        <is>
          <t>E: KEY LEVER. Not disclosed anywhere.</t>
        </is>
      </c>
    </row>
    <row r="48">
      <c r="A48" s="2" t="inlineStr">
        <is>
          <t>Capacity funded by customers (prepay + customer GPUs)</t>
        </is>
      </c>
      <c r="C48" s="14">
        <f>CHOOSE($B$5,C240,C360,C480)</f>
        <v/>
      </c>
      <c r="D48" s="14">
        <f>CHOOSE($B$5,D240,D360,D480)</f>
        <v/>
      </c>
      <c r="E48" s="14">
        <f>CHOOSE($B$5,E240,E360,E480)</f>
        <v/>
      </c>
      <c r="F48" s="14">
        <f>CHOOSE($B$5,F240,F360,F480)</f>
        <v/>
      </c>
      <c r="G48" s="14">
        <f>CHOOSE($B$5,G240,G360,G480)</f>
        <v/>
      </c>
      <c r="J48" s="13" t="inlineStr">
        <is>
          <t>Anchored to D: "prepaid and customer supplied hardware portions ... now total $75 billion" (PR 6/10/26).</t>
        </is>
      </c>
    </row>
    <row r="49">
      <c r="A49" s="2" t="inlineStr">
        <is>
          <t>Maintenance capex, % of depreciation</t>
        </is>
      </c>
      <c r="C49" s="14">
        <f>CHOOSE($B$5,C241,C361,C481)</f>
        <v/>
      </c>
      <c r="D49" s="14">
        <f>CHOOSE($B$5,D241,D361,D481)</f>
        <v/>
      </c>
      <c r="E49" s="14">
        <f>CHOOSE($B$5,E241,E361,E481)</f>
        <v/>
      </c>
      <c r="F49" s="14">
        <f>CHOOSE($B$5,F241,F361,F481)</f>
        <v/>
      </c>
      <c r="G49" s="14">
        <f>CHOOSE($B$5,G241,G361,G481)</f>
        <v/>
      </c>
      <c r="J49" s="13" t="inlineStr">
        <is>
          <t>E: rises as the fleet ages.</t>
        </is>
      </c>
    </row>
    <row r="50">
      <c r="A50" s="2" t="inlineStr">
        <is>
          <t>Committed capex floor ($m)</t>
        </is>
      </c>
      <c r="C50" s="12">
        <f>CHOOSE($B$5,C242,C362,C482)</f>
        <v/>
      </c>
      <c r="D50" s="12">
        <f>CHOOSE($B$5,D242,D362,D482)</f>
        <v/>
      </c>
      <c r="E50" s="12">
        <f>CHOOSE($B$5,E242,E362,E482)</f>
        <v/>
      </c>
      <c r="F50" s="12">
        <f>CHOOSE($B$5,F242,F362,F482)</f>
        <v/>
      </c>
      <c r="G50" s="12">
        <f>CHOOSE($B$5,G242,G362,G482)</f>
        <v/>
      </c>
      <c r="J50" s="13" t="inlineStr">
        <is>
          <t>E: GPU/server orders and data-centre leases placed 12–18 months ahead cannot be cancelled inside the year.</t>
        </is>
      </c>
    </row>
    <row r="51">
      <c r="A51" s="2" t="inlineStr">
        <is>
          <t>IaaS growth assumed in FY32 (to size FY31 capex)</t>
        </is>
      </c>
      <c r="B51" s="14">
        <f>CHOOSE($B$5,B243,B363,B483)</f>
        <v/>
      </c>
      <c r="J51" s="13" t="inlineStr">
        <is>
          <t>E.</t>
        </is>
      </c>
    </row>
    <row r="52">
      <c r="A52" s="2" t="inlineStr">
        <is>
          <t>Capex mix: equipment</t>
        </is>
      </c>
      <c r="B52" s="14">
        <f>CHOOSE($B$5,B244,B364,B484)</f>
        <v/>
      </c>
      <c r="J52" s="13" t="inlineStr">
        <is>
          <t>E: 10-K R49 gross PP&amp;E is 48.6% computer/network, 17.3% buildings, 32.6% construction in progress.</t>
        </is>
      </c>
    </row>
    <row r="53">
      <c r="A53" s="2" t="inlineStr">
        <is>
          <t>Capex mix: buildings/shell</t>
        </is>
      </c>
      <c r="B53" s="14">
        <f>CHOOSE($B$5,B245,B365,B485)</f>
        <v/>
      </c>
      <c r="J53" s="13" t="inlineStr">
        <is>
          <t>E.</t>
        </is>
      </c>
    </row>
    <row r="54">
      <c r="A54" s="2" t="inlineStr">
        <is>
          <t>Capex mix: land &amp; non-depreciating</t>
        </is>
      </c>
      <c r="B54" s="14">
        <f>CHOOSE($B$5,B246,B366,B486)</f>
        <v/>
      </c>
      <c r="J54" s="13" t="inlineStr">
        <is>
          <t>E.</t>
        </is>
      </c>
    </row>
    <row r="55">
      <c r="A55" s="2" t="inlineStr">
        <is>
          <t>Equipment life (years)</t>
        </is>
      </c>
      <c r="B55" s="19">
        <f>CHOOSE($B$5,B247,B367,B487)</f>
        <v/>
      </c>
      <c r="J55" s="13" t="inlineStr">
        <is>
          <t>D: 10-K R50 — servers and networking equipment, 6 years.</t>
        </is>
      </c>
    </row>
    <row r="56">
      <c r="A56" s="2" t="inlineStr">
        <is>
          <t>Buildings life (years)</t>
        </is>
      </c>
      <c r="B56" s="19">
        <f>CHOOSE($B$5,B248,B368,B488)</f>
        <v/>
      </c>
      <c r="J56" s="13" t="inlineStr">
        <is>
          <t>D: 10-K R49 — buildings 1–40 years. 25 used as the blended estimate.</t>
        </is>
      </c>
    </row>
    <row r="57">
      <c r="A57" s="2" t="inlineStr">
        <is>
          <t>Construction in progress at 5/31/26 ($m)</t>
        </is>
      </c>
      <c r="B57" s="12">
        <f>CHOOSE($B$5,B249,B369,B489)</f>
        <v/>
      </c>
      <c r="J57" s="13" t="inlineStr">
        <is>
          <t>D: 10-K R49. 32.6% of gross PP&amp;E is NOT YET DEPRECIATING.</t>
        </is>
      </c>
    </row>
    <row r="58">
      <c r="A58" s="2" t="inlineStr">
        <is>
          <t>CIP placed in service in FY27</t>
        </is>
      </c>
      <c r="B58" s="14">
        <f>CHOOSE($B$5,B250,B370,B490)</f>
        <v/>
      </c>
      <c r="J58" s="13" t="inlineStr">
        <is>
          <t>E.</t>
        </is>
      </c>
    </row>
    <row r="59">
      <c r="A59" s="2" t="inlineStr">
        <is>
          <t>CIP placed in service in FY28</t>
        </is>
      </c>
      <c r="B59" s="14">
        <f>CHOOSE($B$5,B251,B371,B491)</f>
        <v/>
      </c>
      <c r="J59" s="13" t="inlineStr">
        <is>
          <t>E.</t>
        </is>
      </c>
    </row>
    <row r="60">
      <c r="A60" s="2" t="inlineStr">
        <is>
          <t>Capex placed in service in year spent</t>
        </is>
      </c>
      <c r="B60" s="14">
        <f>CHOOSE($B$5,B252,B372,B492)</f>
        <v/>
      </c>
      <c r="J60" s="13" t="inlineStr">
        <is>
          <t>E: ~9 months average time in CIP.</t>
        </is>
      </c>
    </row>
    <row r="61">
      <c r="A61" s="2" t="inlineStr">
        <is>
          <t>Capex placed in service in following year</t>
        </is>
      </c>
      <c r="B61" s="14">
        <f>CHOOSE($B$5,B253,B373,B493)</f>
        <v/>
      </c>
      <c r="J61" s="13" t="inlineStr">
        <is>
          <t>E.</t>
        </is>
      </c>
    </row>
    <row r="62">
      <c r="A62" s="2" t="inlineStr">
        <is>
          <t>Remaining life of existing in-service base (yrs)</t>
        </is>
      </c>
      <c r="B62" s="19">
        <f>CHOOSE($B$5,B254,B374,B494)</f>
        <v/>
      </c>
      <c r="J62" s="13" t="inlineStr">
        <is>
          <t>E: FY26A depreciation $7,623m on avg in-service gross PP&amp;E implies ~8yr blended; 5yr used on residual NBV.</t>
        </is>
      </c>
    </row>
    <row r="63">
      <c r="A63" s="10" t="inlineStr">
        <is>
          <t>— FINANCING, TAX, SHARES —</t>
        </is>
      </c>
      <c r="B63" s="11" t="n"/>
      <c r="C63" s="11" t="n"/>
      <c r="D63" s="11" t="n"/>
      <c r="E63" s="11" t="n"/>
      <c r="F63" s="11" t="n"/>
      <c r="G63" s="11" t="n"/>
      <c r="H63" s="11" t="n"/>
      <c r="I63" s="11" t="n"/>
      <c r="J63" s="11" t="n"/>
    </row>
    <row r="64">
      <c r="A64" s="2" t="inlineStr">
        <is>
          <t>Pre-tax cost of NEW debt</t>
        </is>
      </c>
      <c r="B64" s="20">
        <f>CHOOSE($B$5,B256,B376,B496)</f>
        <v/>
      </c>
      <c r="J64" s="13" t="inlineStr">
        <is>
          <t>E: Oracle's Feb-2026 30yr priced 6.70%, 40yr 6.85% (10-K MD&amp;A). S&amp;P cut to BBB- 7/9/26 (unverified secondary).</t>
        </is>
      </c>
    </row>
    <row r="65">
      <c r="A65" s="2" t="inlineStr">
        <is>
          <t>Blended rate on existing debt</t>
        </is>
      </c>
      <c r="B65" s="20">
        <f>CHOOSE($B$5,B257,B377,B497)</f>
        <v/>
      </c>
      <c r="J65" s="13" t="inlineStr">
        <is>
          <t>D-derived: FY26A interest expense $4,599m on average borrowings.</t>
        </is>
      </c>
    </row>
    <row r="66">
      <c r="A66" s="2" t="inlineStr">
        <is>
          <t>Interest income rate on cash</t>
        </is>
      </c>
      <c r="B66" s="20">
        <f>CHOOSE($B$5,B258,B378,B498)</f>
        <v/>
      </c>
      <c r="J66" s="13" t="inlineStr">
        <is>
          <t>E: FY26A interest income $780m.</t>
        </is>
      </c>
    </row>
    <row r="67">
      <c r="A67" s="2" t="inlineStr">
        <is>
          <t>Equity issuance ($m)</t>
        </is>
      </c>
      <c r="C67" s="12">
        <f>CHOOSE($B$5,C259,C379,C499)</f>
        <v/>
      </c>
      <c r="D67" s="12">
        <f>CHOOSE($B$5,D259,D379,D499)</f>
        <v/>
      </c>
      <c r="E67" s="12">
        <f>CHOOSE($B$5,E259,E379,E499)</f>
        <v/>
      </c>
      <c r="F67" s="12">
        <f>CHOOSE($B$5,F259,F379,F499)</f>
        <v/>
      </c>
      <c r="G67" s="12">
        <f>CHOOSE($B$5,G259,G379,G499)</f>
        <v/>
      </c>
      <c r="J67" s="13" t="inlineStr">
        <is>
          <t>D: $20bn ATM programme entered 2/2/2026, ZERO drawn at 5/31/26 (10-K R70). Bear draws more, lower.</t>
        </is>
      </c>
    </row>
    <row r="68">
      <c r="A68" s="2" t="inlineStr">
        <is>
          <t>Assumed issue price ($)</t>
        </is>
      </c>
      <c r="C68" s="21">
        <f>CHOOSE($B$5,C260,C380,C500)</f>
        <v/>
      </c>
      <c r="D68" s="21">
        <f>CHOOSE($B$5,D260,D380,D500)</f>
        <v/>
      </c>
      <c r="E68" s="21">
        <f>CHOOSE($B$5,E260,E380,E500)</f>
        <v/>
      </c>
      <c r="F68" s="21">
        <f>CHOOSE($B$5,F260,F380,F500)</f>
        <v/>
      </c>
      <c r="G68" s="21">
        <f>CHOOSE($B$5,G260,G380,G500)</f>
        <v/>
      </c>
      <c r="J68" s="13" t="inlineStr">
        <is>
          <t>E.</t>
        </is>
      </c>
    </row>
    <row r="69">
      <c r="A69" s="2" t="inlineStr">
        <is>
          <t>GAAP effective tax rate</t>
        </is>
      </c>
      <c r="C69" s="14">
        <f>CHOOSE($B$5,C261,C381,C501)</f>
        <v/>
      </c>
      <c r="D69" s="14">
        <f>CHOOSE($B$5,D261,D381,D501)</f>
        <v/>
      </c>
      <c r="E69" s="14">
        <f>CHOOSE($B$5,E261,E381,E501)</f>
        <v/>
      </c>
      <c r="F69" s="14">
        <f>CHOOSE($B$5,F261,F381,F501)</f>
        <v/>
      </c>
      <c r="G69" s="14">
        <f>CHOOSE($B$5,G261,G381,G501)</f>
        <v/>
      </c>
      <c r="J69" s="13" t="inlineStr">
        <is>
          <t>E: FY26A was 12.6%, flattered by a $2,062m SBC windfall benefit (10-K R80) that will not repeat at $152/share.</t>
        </is>
      </c>
    </row>
    <row r="70">
      <c r="A70" s="2" t="inlineStr">
        <is>
          <t>Non-GAAP tax rate</t>
        </is>
      </c>
      <c r="C70" s="14">
        <f>CHOOSE($B$5,C262,C382,C502)</f>
        <v/>
      </c>
      <c r="D70" s="14">
        <f>CHOOSE($B$5,D262,D382,D502)</f>
        <v/>
      </c>
      <c r="E70" s="14">
        <f>CHOOSE($B$5,E262,E382,E502)</f>
        <v/>
      </c>
      <c r="F70" s="14">
        <f>CHOOSE($B$5,F262,F382,F502)</f>
        <v/>
      </c>
      <c r="G70" s="14">
        <f>CHOOSE($B$5,G262,G382,G502)</f>
        <v/>
      </c>
      <c r="J70" s="13" t="inlineStr">
        <is>
          <t>D: FY26A 19.9% (press release footnote 5).</t>
        </is>
      </c>
    </row>
    <row r="71">
      <c r="A71" s="2" t="inlineStr">
        <is>
          <t>Common dividend per share ($)</t>
        </is>
      </c>
      <c r="C71" s="21">
        <f>CHOOSE($B$5,C263,C383,C503)</f>
        <v/>
      </c>
      <c r="D71" s="21">
        <f>CHOOSE($B$5,D263,D383,D503)</f>
        <v/>
      </c>
      <c r="E71" s="21">
        <f>CHOOSE($B$5,E263,E383,E503)</f>
        <v/>
      </c>
      <c r="F71" s="21">
        <f>CHOOSE($B$5,F263,F383,F503)</f>
        <v/>
      </c>
      <c r="G71" s="21">
        <f>CHOOSE($B$5,G263,G383,G503)</f>
        <v/>
      </c>
      <c r="J71" s="13" t="inlineStr">
        <is>
          <t>D: $0.50/qtr declared 6/10/26, flat vs FY26. Dividend growth has stopped.</t>
        </is>
      </c>
    </row>
    <row r="72">
      <c r="A72" s="2" t="inlineStr">
        <is>
          <t>Annual net dilution from stock awards</t>
        </is>
      </c>
      <c r="B72" s="14">
        <f>CHOOSE($B$5,B264,B384,B504)</f>
        <v/>
      </c>
      <c r="J72" s="13" t="inlineStr">
        <is>
          <t>D: 10-K MD&amp;A — 1.0% annualised since 6/1/2023; max potential dilution 3.5%.</t>
        </is>
      </c>
    </row>
    <row r="73">
      <c r="A73" s="2" t="inlineStr">
        <is>
          <t>Shares on mandatory conversion (m)</t>
        </is>
      </c>
      <c r="B73" s="19">
        <f>CHOOSE($B$5,B265,B385,B505)</f>
        <v/>
      </c>
      <c r="J73" s="13" t="inlineStr">
        <is>
          <t>D: 10-K Note 10 — converts 1/15/2029 at 499.8126–624.7657 sh per pref. At $151.94 (&lt; $160.06) the MAX ratio applies.</t>
        </is>
      </c>
    </row>
    <row r="74">
      <c r="A74" s="2" t="inlineStr">
        <is>
          <t>Preferred dividend, annual ($m)</t>
        </is>
      </c>
      <c r="B74" s="12">
        <f>CHOOSE($B$5,B266,B386,B506)</f>
        <v/>
      </c>
      <c r="J74" s="13" t="inlineStr">
        <is>
          <t>D: 6.50% on $5.0bn = $325m. FY26A actual $103m (part-year).</t>
        </is>
      </c>
    </row>
    <row r="75">
      <c r="A75" s="2" t="inlineStr">
        <is>
          <t>Customer prepayments in OCF ($m)</t>
        </is>
      </c>
      <c r="C75" s="12">
        <f>CHOOSE($B$5,C267,C387,C507)</f>
        <v/>
      </c>
      <c r="D75" s="12">
        <f>CHOOSE($B$5,D267,D387,D507)</f>
        <v/>
      </c>
      <c r="E75" s="12">
        <f>CHOOSE($B$5,E267,E387,E507)</f>
        <v/>
      </c>
      <c r="F75" s="12">
        <f>CHOOSE($B$5,F267,F387,F507)</f>
        <v/>
      </c>
      <c r="G75" s="12">
        <f>CHOOSE($B$5,G267,G387,G507)</f>
        <v/>
      </c>
      <c r="J75" s="13" t="inlineStr">
        <is>
          <t>D-anchored: FY26A $4,592m, a brand-new cash-flow line (10-K R8).</t>
        </is>
      </c>
    </row>
    <row r="76">
      <c r="A76" s="2" t="inlineStr">
        <is>
          <t>Short-term financing re capex ($m)</t>
        </is>
      </c>
      <c r="C76" s="12">
        <f>CHOOSE($B$5,C268,C388,C508)</f>
        <v/>
      </c>
      <c r="D76" s="12">
        <f>CHOOSE($B$5,D268,D388,D508)</f>
        <v/>
      </c>
      <c r="E76" s="12">
        <f>CHOOSE($B$5,E268,E388,E508)</f>
        <v/>
      </c>
      <c r="F76" s="12">
        <f>CHOOSE($B$5,F268,F388,F508)</f>
        <v/>
      </c>
      <c r="G76" s="12">
        <f>CHOOSE($B$5,G268,G388,G508)</f>
        <v/>
      </c>
      <c r="J76" s="13" t="inlineStr">
        <is>
          <t>D-anchored: FY26A $3,345m (10-K R8, financing activities).</t>
        </is>
      </c>
    </row>
    <row r="77">
      <c r="A77" s="2" t="inlineStr">
        <is>
          <t>Incremental NWC, % of revenue change</t>
        </is>
      </c>
      <c r="B77" s="14">
        <f>CHOOSE($B$5,B269,B389,B509)</f>
        <v/>
      </c>
      <c r="J77" s="13" t="inlineStr">
        <is>
          <t>E.</t>
        </is>
      </c>
    </row>
    <row r="78">
      <c r="A78" s="2" t="inlineStr">
        <is>
          <t>Total debt at 5/31/26 ($m)</t>
        </is>
      </c>
      <c r="B78" s="12">
        <f>CHOOSE($B$5,B270,B390,B510)</f>
        <v/>
      </c>
      <c r="J78" s="13" t="inlineStr">
        <is>
          <t>D: 10-K R2 — $7,199m current + $122,342m non-current.</t>
        </is>
      </c>
    </row>
    <row r="79">
      <c r="A79" s="2" t="inlineStr">
        <is>
          <t>Cash + marketable securities at 5/31/26 ($m)</t>
        </is>
      </c>
      <c r="B79" s="12">
        <f>CHOOSE($B$5,B271,B391,B511)</f>
        <v/>
      </c>
      <c r="J79" s="13" t="inlineStr">
        <is>
          <t>D: 10-K R2 — $31,289m + $605m.</t>
        </is>
      </c>
    </row>
    <row r="80">
      <c r="A80" s="2" t="inlineStr">
        <is>
          <t>Scheduled debt maturities ($m)</t>
        </is>
      </c>
      <c r="C80" s="12">
        <f>CHOOSE($B$5,C272,C392,C512)</f>
        <v/>
      </c>
      <c r="D80" s="12">
        <f>CHOOSE($B$5,D272,D392,D512)</f>
        <v/>
      </c>
      <c r="E80" s="12">
        <f>CHOOSE($B$5,E272,E392,E512)</f>
        <v/>
      </c>
      <c r="F80" s="12">
        <f>CHOOSE($B$5,F272,F392,F512)</f>
        <v/>
      </c>
      <c r="G80" s="12">
        <f>CHOOSE($B$5,G272,G392,G512)</f>
        <v/>
      </c>
      <c r="J80" s="13" t="inlineStr">
        <is>
          <t>D: 10-K R57 — the full maturity schedule is disclosed.</t>
        </is>
      </c>
    </row>
    <row r="81">
      <c r="A81" s="10" t="inlineStr">
        <is>
          <t>— VALUATION —</t>
        </is>
      </c>
      <c r="B81" s="11" t="n"/>
      <c r="C81" s="11" t="n"/>
      <c r="D81" s="11" t="n"/>
      <c r="E81" s="11" t="n"/>
      <c r="F81" s="11" t="n"/>
      <c r="G81" s="11" t="n"/>
      <c r="H81" s="11" t="n"/>
      <c r="I81" s="11" t="n"/>
      <c r="J81" s="11" t="n"/>
    </row>
    <row r="82">
      <c r="A82" s="2" t="inlineStr">
        <is>
          <t>WACC</t>
        </is>
      </c>
      <c r="B82" s="22">
        <f>CHOOSE($B$5,B274,B394,B514)</f>
        <v/>
      </c>
      <c r="C82" s="16" t="n"/>
      <c r="D82" s="16" t="n"/>
      <c r="E82" s="16" t="n"/>
      <c r="F82" s="16" t="n"/>
      <c r="G82" s="16" t="n"/>
      <c r="J82" s="13" t="inlineStr">
        <is>
          <t>Derived on the Valuation_DCF tab from rf 4.672%, ERP 5.0%, beta, and a 6.75% marginal cost of debt.</t>
        </is>
      </c>
    </row>
    <row r="83">
      <c r="A83" s="2" t="inlineStr">
        <is>
          <t>DCF terminal growth</t>
        </is>
      </c>
      <c r="B83" s="14">
        <f>CHOOSE($B$5,B275,B395,B515)</f>
        <v/>
      </c>
      <c r="J83" s="13" t="inlineStr">
        <is>
          <t>E.</t>
        </is>
      </c>
    </row>
    <row r="198">
      <c r="A198" s="4" t="inlineStr">
        <is>
          <t>BASE SCENARIO INPUT BLOCK — edit here</t>
        </is>
      </c>
    </row>
    <row r="199">
      <c r="A199" s="23" t="inlineStr">
        <is>
          <t>Driver</t>
        </is>
      </c>
      <c r="B199" s="24" t="inlineStr">
        <is>
          <t>single</t>
        </is>
      </c>
      <c r="C199" s="24" t="inlineStr">
        <is>
          <t>FY2027</t>
        </is>
      </c>
      <c r="D199" s="24" t="inlineStr">
        <is>
          <t>FY2028</t>
        </is>
      </c>
      <c r="E199" s="24" t="inlineStr">
        <is>
          <t>FY2029</t>
        </is>
      </c>
      <c r="F199" s="24" t="inlineStr">
        <is>
          <t>FY2030</t>
        </is>
      </c>
      <c r="G199" s="24" t="inlineStr">
        <is>
          <t>FY2031</t>
        </is>
      </c>
    </row>
    <row r="201">
      <c r="A201" s="38" t="inlineStr">
        <is>
          <t>RPO at 5/31/2026 ($m)</t>
        </is>
      </c>
      <c r="B201" s="25" t="n">
        <v>638000</v>
      </c>
    </row>
    <row r="202">
      <c r="A202" s="38" t="inlineStr">
        <is>
          <t>Disclosed: recognised over next 12 months</t>
        </is>
      </c>
      <c r="B202" s="26" t="n">
        <v>0.12</v>
      </c>
    </row>
    <row r="203">
      <c r="A203" s="38" t="inlineStr">
        <is>
          <t>Disclosed: months 13–36</t>
        </is>
      </c>
      <c r="B203" s="26" t="n">
        <v>0.34</v>
      </c>
    </row>
    <row r="204">
      <c r="A204" s="38" t="inlineStr">
        <is>
          <t>Disclosed: months 37–60</t>
        </is>
      </c>
      <c r="B204" s="26" t="n">
        <v>0.34</v>
      </c>
    </row>
    <row r="205">
      <c r="A205" s="38" t="inlineStr">
        <is>
          <t>Disclosed: thereafter (residual)</t>
        </is>
      </c>
      <c r="B205" s="26" t="n">
        <v>0.2</v>
      </c>
    </row>
    <row r="206">
      <c r="A206" s="38" t="inlineStr">
        <is>
          <t>"Legacy" (pre-AI) backlog ($m)</t>
        </is>
      </c>
      <c r="B206" s="25" t="n">
        <v>140000</v>
      </c>
    </row>
    <row r="207">
      <c r="A207" s="38" t="inlineStr">
        <is>
          <t>AI backlog never recognised (counterparty)</t>
        </is>
      </c>
      <c r="B207" s="26" t="n">
        <v>0.05</v>
      </c>
    </row>
    <row r="208">
      <c r="A208" s="38" t="inlineStr">
        <is>
          <t>Legacy backlog conversion, % per year</t>
        </is>
      </c>
      <c r="C208" s="26" t="n">
        <v>0.4</v>
      </c>
      <c r="D208" s="26" t="n">
        <v>0.25</v>
      </c>
      <c r="E208" s="26" t="n">
        <v>0.15</v>
      </c>
      <c r="F208" s="26" t="n">
        <v>0.08</v>
      </c>
      <c r="G208" s="26" t="n">
        <v>0.05</v>
      </c>
    </row>
    <row r="209">
      <c r="A209" s="38" t="inlineStr">
        <is>
          <t>Share of the m13–36 bucket falling in FY28</t>
        </is>
      </c>
      <c r="B209" s="26" t="n">
        <v>0.45</v>
      </c>
    </row>
    <row r="210">
      <c r="A210" s="38" t="inlineStr">
        <is>
          <t>Share of the m37–60 bucket falling in FY30</t>
        </is>
      </c>
      <c r="B210" s="26" t="n">
        <v>0.51</v>
      </c>
    </row>
    <row r="211">
      <c r="A211" s="38" t="inlineStr">
        <is>
          <t>New bookings signed after 5/31/26 ($m)</t>
        </is>
      </c>
      <c r="C211" s="25" t="n">
        <v>100000</v>
      </c>
      <c r="D211" s="25" t="n">
        <v>80000</v>
      </c>
      <c r="E211" s="25" t="n">
        <v>70000</v>
      </c>
      <c r="F211" s="25" t="n">
        <v>65000</v>
      </c>
      <c r="G211" s="25" t="n">
        <v>60000</v>
      </c>
    </row>
    <row r="212">
      <c r="A212" s="38" t="inlineStr">
        <is>
          <t>New-bookings conversion, % per year</t>
        </is>
      </c>
      <c r="C212" s="26" t="n">
        <v>0.04</v>
      </c>
      <c r="D212" s="26" t="n">
        <v>0.1</v>
      </c>
      <c r="E212" s="26" t="n">
        <v>0.15</v>
      </c>
      <c r="F212" s="26" t="n">
        <v>0.17</v>
      </c>
      <c r="G212" s="26" t="n">
        <v>0.16</v>
      </c>
    </row>
    <row r="213">
      <c r="A213" s="38" t="inlineStr">
        <is>
          <t>Revenue not covered by RPO, FY27 ($m)</t>
        </is>
      </c>
      <c r="B213" s="25" t="n">
        <v>8500</v>
      </c>
    </row>
    <row r="214">
      <c r="A214" s="38" t="inlineStr">
        <is>
          <t xml:space="preserve">  growth</t>
        </is>
      </c>
      <c r="B214" s="26" t="n">
        <v>0.03</v>
      </c>
    </row>
    <row r="216">
      <c r="A216" s="38" t="inlineStr">
        <is>
          <t>Cloud Applications (SaaS) growth</t>
        </is>
      </c>
      <c r="C216" s="26" t="n">
        <v>0.12</v>
      </c>
      <c r="D216" s="26" t="n">
        <v>0.11</v>
      </c>
      <c r="E216" s="26" t="n">
        <v>0.1</v>
      </c>
      <c r="F216" s="26" t="n">
        <v>0.09</v>
      </c>
      <c r="G216" s="26" t="n">
        <v>0.08</v>
      </c>
    </row>
    <row r="217">
      <c r="A217" s="38" t="inlineStr">
        <is>
          <t>Software licence growth</t>
        </is>
      </c>
      <c r="C217" s="26" t="n">
        <v>-0.06</v>
      </c>
      <c r="D217" s="26" t="n">
        <v>-0.06</v>
      </c>
      <c r="E217" s="26" t="n">
        <v>-0.06</v>
      </c>
      <c r="F217" s="26" t="n">
        <v>-0.06</v>
      </c>
      <c r="G217" s="26" t="n">
        <v>-0.06</v>
      </c>
    </row>
    <row r="218">
      <c r="A218" s="38" t="inlineStr">
        <is>
          <t>Software support growth</t>
        </is>
      </c>
      <c r="C218" s="26" t="n">
        <v>-0.005</v>
      </c>
      <c r="D218" s="26" t="n">
        <v>-0.005</v>
      </c>
      <c r="E218" s="26" t="n">
        <v>-0.005</v>
      </c>
      <c r="F218" s="26" t="n">
        <v>-0.005</v>
      </c>
      <c r="G218" s="26" t="n">
        <v>-0.005</v>
      </c>
    </row>
    <row r="219">
      <c r="A219" s="38" t="inlineStr">
        <is>
          <t>Services growth</t>
        </is>
      </c>
      <c r="C219" s="26" t="n">
        <v>0.08</v>
      </c>
      <c r="D219" s="26" t="n">
        <v>0.07000000000000001</v>
      </c>
      <c r="E219" s="26" t="n">
        <v>0.06</v>
      </c>
      <c r="F219" s="26" t="n">
        <v>0.05</v>
      </c>
      <c r="G219" s="26" t="n">
        <v>0.05</v>
      </c>
    </row>
    <row r="220">
      <c r="A220" s="38" t="inlineStr">
        <is>
          <t>Hardware growth</t>
        </is>
      </c>
      <c r="C220" s="26" t="n">
        <v>0.05</v>
      </c>
      <c r="D220" s="26" t="n">
        <v>0.05</v>
      </c>
      <c r="E220" s="26" t="n">
        <v>0.04</v>
      </c>
      <c r="F220" s="26" t="n">
        <v>0.04</v>
      </c>
      <c r="G220" s="26" t="n">
        <v>0.04</v>
      </c>
    </row>
    <row r="222">
      <c r="A222" s="38" t="inlineStr">
        <is>
          <t>IaaS cost ex-depreciation, % of IaaS revenue</t>
        </is>
      </c>
      <c r="C222" s="26" t="n">
        <v>0.375</v>
      </c>
      <c r="D222" s="26" t="n">
        <v>0.36</v>
      </c>
      <c r="E222" s="26" t="n">
        <v>0.345</v>
      </c>
      <c r="F222" s="26" t="n">
        <v>0.33</v>
      </c>
      <c r="G222" s="26" t="n">
        <v>0.32</v>
      </c>
    </row>
    <row r="223">
      <c r="A223" s="38" t="inlineStr">
        <is>
          <t>Share of total depreciation charged to IaaS COGS</t>
        </is>
      </c>
      <c r="C223" s="26" t="n">
        <v>0.8</v>
      </c>
      <c r="D223" s="26" t="n">
        <v>0.84</v>
      </c>
      <c r="E223" s="26" t="n">
        <v>0.87</v>
      </c>
      <c r="F223" s="26" t="n">
        <v>0.89</v>
      </c>
      <c r="G223" s="26" t="n">
        <v>0.9</v>
      </c>
    </row>
    <row r="224">
      <c r="A224" s="38" t="inlineStr">
        <is>
          <t>SaaS gross margin</t>
        </is>
      </c>
      <c r="C224" s="26" t="n">
        <v>0.78</v>
      </c>
      <c r="D224" s="26" t="n">
        <v>0.785</v>
      </c>
      <c r="E224" s="26" t="n">
        <v>0.79</v>
      </c>
      <c r="F224" s="26" t="n">
        <v>0.795</v>
      </c>
      <c r="G224" s="26" t="n">
        <v>0.8</v>
      </c>
    </row>
    <row r="225">
      <c r="A225" s="38" t="inlineStr">
        <is>
          <t>Software support gross margin</t>
        </is>
      </c>
      <c r="C225" s="26" t="n">
        <v>0.93</v>
      </c>
      <c r="D225" s="26" t="n">
        <v>0.93</v>
      </c>
      <c r="E225" s="26" t="n">
        <v>0.93</v>
      </c>
      <c r="F225" s="26" t="n">
        <v>0.93</v>
      </c>
      <c r="G225" s="26" t="n">
        <v>0.93</v>
      </c>
    </row>
    <row r="226">
      <c r="A226" s="38" t="inlineStr">
        <is>
          <t>Software licence gross margin</t>
        </is>
      </c>
      <c r="C226" s="26" t="n">
        <v>0.98</v>
      </c>
      <c r="D226" s="26" t="n">
        <v>0.98</v>
      </c>
      <c r="E226" s="26" t="n">
        <v>0.98</v>
      </c>
      <c r="F226" s="26" t="n">
        <v>0.98</v>
      </c>
      <c r="G226" s="26" t="n">
        <v>0.98</v>
      </c>
    </row>
    <row r="227">
      <c r="A227" s="38" t="inlineStr">
        <is>
          <t>Services gross margin</t>
        </is>
      </c>
      <c r="C227" s="26" t="n">
        <v>0.21</v>
      </c>
      <c r="D227" s="26" t="n">
        <v>0.215</v>
      </c>
      <c r="E227" s="26" t="n">
        <v>0.22</v>
      </c>
      <c r="F227" s="26" t="n">
        <v>0.22</v>
      </c>
      <c r="G227" s="26" t="n">
        <v>0.22</v>
      </c>
    </row>
    <row r="228">
      <c r="A228" s="38" t="inlineStr">
        <is>
          <t>Hardware gross margin</t>
        </is>
      </c>
      <c r="C228" s="26" t="n">
        <v>0.72</v>
      </c>
      <c r="D228" s="26" t="n">
        <v>0.72</v>
      </c>
      <c r="E228" s="26" t="n">
        <v>0.72</v>
      </c>
      <c r="F228" s="26" t="n">
        <v>0.72</v>
      </c>
      <c r="G228" s="26" t="n">
        <v>0.72</v>
      </c>
    </row>
    <row r="230">
      <c r="A230" s="38" t="inlineStr">
        <is>
          <t>Sales &amp; marketing, % of revenue</t>
        </is>
      </c>
      <c r="C230" s="26" t="n">
        <v>0.093</v>
      </c>
      <c r="D230" s="26" t="n">
        <v>0.083</v>
      </c>
      <c r="E230" s="26" t="n">
        <v>0.077</v>
      </c>
      <c r="F230" s="26" t="n">
        <v>0.073</v>
      </c>
      <c r="G230" s="26" t="n">
        <v>0.07000000000000001</v>
      </c>
    </row>
    <row r="231">
      <c r="A231" s="38" t="inlineStr">
        <is>
          <t>R&amp;D growth</t>
        </is>
      </c>
      <c r="C231" s="26" t="n">
        <v>0.08</v>
      </c>
      <c r="D231" s="26" t="n">
        <v>0.08</v>
      </c>
      <c r="E231" s="26" t="n">
        <v>0.07000000000000001</v>
      </c>
      <c r="F231" s="26" t="n">
        <v>0.06</v>
      </c>
      <c r="G231" s="26" t="n">
        <v>0.06</v>
      </c>
    </row>
    <row r="232">
      <c r="A232" s="38" t="inlineStr">
        <is>
          <t>G&amp;A growth</t>
        </is>
      </c>
      <c r="C232" s="26" t="n">
        <v>0.05</v>
      </c>
      <c r="D232" s="26" t="n">
        <v>0.05</v>
      </c>
      <c r="E232" s="26" t="n">
        <v>0.05</v>
      </c>
      <c r="F232" s="26" t="n">
        <v>0.05</v>
      </c>
      <c r="G232" s="26" t="n">
        <v>0.05</v>
      </c>
    </row>
    <row r="233">
      <c r="A233" s="38" t="inlineStr">
        <is>
          <t>Stock-based compensation growth</t>
        </is>
      </c>
      <c r="C233" s="26" t="n">
        <v>0.06</v>
      </c>
      <c r="D233" s="26" t="n">
        <v>0.06</v>
      </c>
      <c r="E233" s="26" t="n">
        <v>0.05</v>
      </c>
      <c r="F233" s="26" t="n">
        <v>0.05</v>
      </c>
      <c r="G233" s="26" t="n">
        <v>0.05</v>
      </c>
    </row>
    <row r="234">
      <c r="A234" s="38" t="inlineStr">
        <is>
          <t>Restructuring &amp; other ($m)</t>
        </is>
      </c>
      <c r="C234" s="25" t="n">
        <v>600</v>
      </c>
      <c r="D234" s="25" t="n">
        <v>400</v>
      </c>
      <c r="E234" s="25" t="n">
        <v>300</v>
      </c>
      <c r="F234" s="25" t="n">
        <v>300</v>
      </c>
      <c r="G234" s="25" t="n">
        <v>300</v>
      </c>
    </row>
    <row r="235">
      <c r="A235" s="38" t="inlineStr">
        <is>
          <t>Asset impairment ($m) — bear only</t>
        </is>
      </c>
      <c r="C235" s="25" t="n">
        <v>0</v>
      </c>
      <c r="D235" s="25" t="n">
        <v>0</v>
      </c>
      <c r="E235" s="25" t="n">
        <v>0</v>
      </c>
      <c r="F235" s="25" t="n">
        <v>0</v>
      </c>
      <c r="G235" s="25" t="n">
        <v>0</v>
      </c>
    </row>
    <row r="236">
      <c r="A236" s="38" t="inlineStr">
        <is>
          <t>Intangible amortisation ($m)</t>
        </is>
      </c>
      <c r="C236" s="25" t="n">
        <v>731</v>
      </c>
      <c r="D236" s="25" t="n">
        <v>694</v>
      </c>
      <c r="E236" s="25" t="n">
        <v>620</v>
      </c>
      <c r="F236" s="25" t="n">
        <v>582</v>
      </c>
      <c r="G236" s="25" t="n">
        <v>377</v>
      </c>
    </row>
    <row r="238">
      <c r="A238" s="38" t="inlineStr">
        <is>
          <t>IaaS revenue per $ gross PP&amp;E at full utilisation</t>
        </is>
      </c>
      <c r="B238" s="27" t="n">
        <v>0.5</v>
      </c>
    </row>
    <row r="239">
      <c r="A239" s="38" t="inlineStr">
        <is>
          <t>Utilisation of installed capacity</t>
        </is>
      </c>
      <c r="C239" s="26" t="n">
        <v>0.72</v>
      </c>
      <c r="D239" s="26" t="n">
        <v>0.8</v>
      </c>
      <c r="E239" s="26" t="n">
        <v>0.85</v>
      </c>
      <c r="F239" s="26" t="n">
        <v>0.87</v>
      </c>
      <c r="G239" s="26" t="n">
        <v>0.88</v>
      </c>
    </row>
    <row r="240">
      <c r="A240" s="38" t="inlineStr">
        <is>
          <t>Capacity funded by customers (prepay + customer GPUs)</t>
        </is>
      </c>
      <c r="C240" s="26" t="n">
        <v>0.25</v>
      </c>
      <c r="D240" s="26" t="n">
        <v>0.25</v>
      </c>
      <c r="E240" s="26" t="n">
        <v>0.2</v>
      </c>
      <c r="F240" s="26" t="n">
        <v>0.18</v>
      </c>
      <c r="G240" s="26" t="n">
        <v>0.15</v>
      </c>
    </row>
    <row r="241">
      <c r="A241" s="38" t="inlineStr">
        <is>
          <t>Maintenance capex, % of depreciation</t>
        </is>
      </c>
      <c r="C241" s="26" t="n">
        <v>0.3</v>
      </c>
      <c r="D241" s="26" t="n">
        <v>0.35</v>
      </c>
      <c r="E241" s="26" t="n">
        <v>0.4</v>
      </c>
      <c r="F241" s="26" t="n">
        <v>0.45</v>
      </c>
      <c r="G241" s="26" t="n">
        <v>0.5</v>
      </c>
    </row>
    <row r="242">
      <c r="A242" s="38" t="inlineStr">
        <is>
          <t>Committed capex floor ($m)</t>
        </is>
      </c>
      <c r="C242" s="25" t="n">
        <v>80000</v>
      </c>
      <c r="D242" s="25" t="n">
        <v>30000</v>
      </c>
      <c r="E242" s="25" t="n">
        <v>20000</v>
      </c>
      <c r="F242" s="25" t="n">
        <v>14000</v>
      </c>
      <c r="G242" s="25" t="n">
        <v>14000</v>
      </c>
    </row>
    <row r="243">
      <c r="A243" s="38" t="inlineStr">
        <is>
          <t>IaaS growth assumed in FY32 (to size FY31 capex)</t>
        </is>
      </c>
      <c r="B243" s="26" t="n">
        <v>0.06</v>
      </c>
    </row>
    <row r="244">
      <c r="A244" s="38" t="inlineStr">
        <is>
          <t>Capex mix: equipment</t>
        </is>
      </c>
      <c r="B244" s="26" t="n">
        <v>0.62</v>
      </c>
    </row>
    <row r="245">
      <c r="A245" s="38" t="inlineStr">
        <is>
          <t>Capex mix: buildings/shell</t>
        </is>
      </c>
      <c r="B245" s="26" t="n">
        <v>0.3</v>
      </c>
    </row>
    <row r="246">
      <c r="A246" s="38" t="inlineStr">
        <is>
          <t>Capex mix: land &amp; non-depreciating</t>
        </is>
      </c>
      <c r="B246" s="26" t="n">
        <v>0.08</v>
      </c>
    </row>
    <row r="247">
      <c r="A247" s="38" t="inlineStr">
        <is>
          <t>Equipment life (years)</t>
        </is>
      </c>
      <c r="B247" s="28" t="n">
        <v>6</v>
      </c>
    </row>
    <row r="248">
      <c r="A248" s="38" t="inlineStr">
        <is>
          <t>Buildings life (years)</t>
        </is>
      </c>
      <c r="B248" s="28" t="n">
        <v>25</v>
      </c>
    </row>
    <row r="249">
      <c r="A249" s="38" t="inlineStr">
        <is>
          <t>Construction in progress at 5/31/26 ($m)</t>
        </is>
      </c>
      <c r="B249" s="25" t="n">
        <v>39973</v>
      </c>
    </row>
    <row r="250">
      <c r="A250" s="38" t="inlineStr">
        <is>
          <t>CIP placed in service in FY27</t>
        </is>
      </c>
      <c r="B250" s="26" t="n">
        <v>0.7</v>
      </c>
    </row>
    <row r="251">
      <c r="A251" s="38" t="inlineStr">
        <is>
          <t>CIP placed in service in FY28</t>
        </is>
      </c>
      <c r="B251" s="26" t="n">
        <v>0.3</v>
      </c>
    </row>
    <row r="252">
      <c r="A252" s="38" t="inlineStr">
        <is>
          <t>Capex placed in service in year spent</t>
        </is>
      </c>
      <c r="B252" s="26" t="n">
        <v>0.4</v>
      </c>
    </row>
    <row r="253">
      <c r="A253" s="38" t="inlineStr">
        <is>
          <t>Capex placed in service in following year</t>
        </is>
      </c>
      <c r="B253" s="26" t="n">
        <v>0.6</v>
      </c>
    </row>
    <row r="254">
      <c r="A254" s="38" t="inlineStr">
        <is>
          <t>Remaining life of existing in-service base (yrs)</t>
        </is>
      </c>
      <c r="B254" s="28" t="n">
        <v>5</v>
      </c>
    </row>
    <row r="256">
      <c r="A256" s="38" t="inlineStr">
        <is>
          <t>Pre-tax cost of NEW debt</t>
        </is>
      </c>
      <c r="B256" s="29" t="n">
        <v>0.0675</v>
      </c>
    </row>
    <row r="257">
      <c r="A257" s="38" t="inlineStr">
        <is>
          <t>Blended rate on existing debt</t>
        </is>
      </c>
      <c r="B257" s="29" t="n">
        <v>0.043</v>
      </c>
    </row>
    <row r="258">
      <c r="A258" s="38" t="inlineStr">
        <is>
          <t>Interest income rate on cash</t>
        </is>
      </c>
      <c r="B258" s="29" t="n">
        <v>0.035</v>
      </c>
    </row>
    <row r="259">
      <c r="A259" s="38" t="inlineStr">
        <is>
          <t>Equity issuance ($m)</t>
        </is>
      </c>
      <c r="C259" s="25" t="n">
        <v>20000</v>
      </c>
      <c r="D259" s="25" t="n">
        <v>0</v>
      </c>
      <c r="E259" s="25" t="n">
        <v>0</v>
      </c>
      <c r="F259" s="25" t="n">
        <v>0</v>
      </c>
      <c r="G259" s="25" t="n">
        <v>0</v>
      </c>
    </row>
    <row r="260">
      <c r="A260" s="38" t="inlineStr">
        <is>
          <t>Assumed issue price ($)</t>
        </is>
      </c>
      <c r="C260" s="30" t="n">
        <v>150</v>
      </c>
      <c r="D260" s="30" t="n">
        <v>0</v>
      </c>
      <c r="E260" s="30" t="n">
        <v>0</v>
      </c>
      <c r="F260" s="30" t="n">
        <v>0</v>
      </c>
      <c r="G260" s="30" t="n">
        <v>0</v>
      </c>
    </row>
    <row r="261">
      <c r="A261" s="38" t="inlineStr">
        <is>
          <t>GAAP effective tax rate</t>
        </is>
      </c>
      <c r="C261" s="26" t="n">
        <v>0.17</v>
      </c>
      <c r="D261" s="26" t="n">
        <v>0.18</v>
      </c>
      <c r="E261" s="26" t="n">
        <v>0.185</v>
      </c>
      <c r="F261" s="26" t="n">
        <v>0.19</v>
      </c>
      <c r="G261" s="26" t="n">
        <v>0.19</v>
      </c>
    </row>
    <row r="262">
      <c r="A262" s="38" t="inlineStr">
        <is>
          <t>Non-GAAP tax rate</t>
        </is>
      </c>
      <c r="C262" s="26" t="n">
        <v>0.2</v>
      </c>
      <c r="D262" s="26" t="n">
        <v>0.2</v>
      </c>
      <c r="E262" s="26" t="n">
        <v>0.2</v>
      </c>
      <c r="F262" s="26" t="n">
        <v>0.2</v>
      </c>
      <c r="G262" s="26" t="n">
        <v>0.2</v>
      </c>
    </row>
    <row r="263">
      <c r="A263" s="38" t="inlineStr">
        <is>
          <t>Common dividend per share ($)</t>
        </is>
      </c>
      <c r="C263" s="30" t="n">
        <v>2</v>
      </c>
      <c r="D263" s="30" t="n">
        <v>2</v>
      </c>
      <c r="E263" s="30" t="n">
        <v>2.04</v>
      </c>
      <c r="F263" s="30" t="n">
        <v>2.12</v>
      </c>
      <c r="G263" s="30" t="n">
        <v>2.2</v>
      </c>
    </row>
    <row r="264">
      <c r="A264" s="38" t="inlineStr">
        <is>
          <t>Annual net dilution from stock awards</t>
        </is>
      </c>
      <c r="B264" s="26" t="n">
        <v>0.01</v>
      </c>
    </row>
    <row r="265">
      <c r="A265" s="38" t="inlineStr">
        <is>
          <t>Shares on mandatory conversion (m)</t>
        </is>
      </c>
      <c r="B265" s="28" t="n">
        <v>31.238285</v>
      </c>
    </row>
    <row r="266">
      <c r="A266" s="38" t="inlineStr">
        <is>
          <t>Preferred dividend, annual ($m)</t>
        </is>
      </c>
      <c r="B266" s="25" t="n">
        <v>325</v>
      </c>
    </row>
    <row r="267">
      <c r="A267" s="38" t="inlineStr">
        <is>
          <t>Customer prepayments in OCF ($m)</t>
        </is>
      </c>
      <c r="C267" s="25" t="n">
        <v>6000</v>
      </c>
      <c r="D267" s="25" t="n">
        <v>4000</v>
      </c>
      <c r="E267" s="25" t="n">
        <v>2000</v>
      </c>
      <c r="F267" s="25" t="n">
        <v>1000</v>
      </c>
      <c r="G267" s="25" t="n">
        <v>1000</v>
      </c>
    </row>
    <row r="268">
      <c r="A268" s="38" t="inlineStr">
        <is>
          <t>Short-term financing re capex ($m)</t>
        </is>
      </c>
      <c r="C268" s="25" t="n">
        <v>4000</v>
      </c>
      <c r="D268" s="25" t="n">
        <v>3000</v>
      </c>
      <c r="E268" s="25" t="n">
        <v>2000</v>
      </c>
      <c r="F268" s="25" t="n">
        <v>1500</v>
      </c>
      <c r="G268" s="25" t="n">
        <v>1500</v>
      </c>
    </row>
    <row r="269">
      <c r="A269" s="38" t="inlineStr">
        <is>
          <t>Incremental NWC, % of revenue change</t>
        </is>
      </c>
      <c r="B269" s="26" t="n">
        <v>0.02</v>
      </c>
    </row>
    <row r="270">
      <c r="A270" s="38" t="inlineStr">
        <is>
          <t>Total debt at 5/31/26 ($m)</t>
        </is>
      </c>
      <c r="B270" s="25" t="n">
        <v>129541</v>
      </c>
    </row>
    <row r="271">
      <c r="A271" s="38" t="inlineStr">
        <is>
          <t>Cash + marketable securities at 5/31/26 ($m)</t>
        </is>
      </c>
      <c r="B271" s="25" t="n">
        <v>31894</v>
      </c>
    </row>
    <row r="272">
      <c r="A272" s="38" t="inlineStr">
        <is>
          <t>Scheduled debt maturities ($m)</t>
        </is>
      </c>
      <c r="C272" s="25" t="n">
        <v>7210</v>
      </c>
      <c r="D272" s="25" t="n">
        <v>10145</v>
      </c>
      <c r="E272" s="25" t="n">
        <v>5500</v>
      </c>
      <c r="F272" s="25" t="n">
        <v>7250</v>
      </c>
      <c r="G272" s="25" t="n">
        <v>9750</v>
      </c>
    </row>
    <row r="274">
      <c r="A274" s="38" t="inlineStr">
        <is>
          <t>WACC</t>
        </is>
      </c>
      <c r="B274" s="29" t="n">
        <v>0.103</v>
      </c>
    </row>
    <row r="275">
      <c r="A275" s="38" t="inlineStr">
        <is>
          <t>DCF terminal growth</t>
        </is>
      </c>
      <c r="B275" s="26" t="n">
        <v>0.03</v>
      </c>
    </row>
    <row r="318">
      <c r="A318" s="4" t="inlineStr">
        <is>
          <t>BULL SCENARIO INPUT BLOCK — edit here</t>
        </is>
      </c>
    </row>
    <row r="319">
      <c r="A319" s="23" t="inlineStr">
        <is>
          <t>Driver</t>
        </is>
      </c>
      <c r="B319" s="24" t="inlineStr">
        <is>
          <t>single</t>
        </is>
      </c>
      <c r="C319" s="24" t="inlineStr">
        <is>
          <t>FY2027</t>
        </is>
      </c>
      <c r="D319" s="24" t="inlineStr">
        <is>
          <t>FY2028</t>
        </is>
      </c>
      <c r="E319" s="24" t="inlineStr">
        <is>
          <t>FY2029</t>
        </is>
      </c>
      <c r="F319" s="24" t="inlineStr">
        <is>
          <t>FY2030</t>
        </is>
      </c>
      <c r="G319" s="24" t="inlineStr">
        <is>
          <t>FY2031</t>
        </is>
      </c>
    </row>
    <row r="321">
      <c r="A321" s="38" t="inlineStr">
        <is>
          <t>RPO at 5/31/2026 ($m)</t>
        </is>
      </c>
      <c r="B321" s="25" t="n">
        <v>638000</v>
      </c>
    </row>
    <row r="322">
      <c r="A322" s="38" t="inlineStr">
        <is>
          <t>Disclosed: recognised over next 12 months</t>
        </is>
      </c>
      <c r="B322" s="26" t="n">
        <v>0.12</v>
      </c>
    </row>
    <row r="323">
      <c r="A323" s="38" t="inlineStr">
        <is>
          <t>Disclosed: months 13–36</t>
        </is>
      </c>
      <c r="B323" s="26" t="n">
        <v>0.34</v>
      </c>
    </row>
    <row r="324">
      <c r="A324" s="38" t="inlineStr">
        <is>
          <t>Disclosed: months 37–60</t>
        </is>
      </c>
      <c r="B324" s="26" t="n">
        <v>0.34</v>
      </c>
    </row>
    <row r="325">
      <c r="A325" s="38" t="inlineStr">
        <is>
          <t>Disclosed: thereafter (residual)</t>
        </is>
      </c>
      <c r="B325" s="26" t="n">
        <v>0.2</v>
      </c>
    </row>
    <row r="326">
      <c r="A326" s="38" t="inlineStr">
        <is>
          <t>"Legacy" (pre-AI) backlog ($m)</t>
        </is>
      </c>
      <c r="B326" s="25" t="n">
        <v>140000</v>
      </c>
    </row>
    <row r="327">
      <c r="A327" s="38" t="inlineStr">
        <is>
          <t>AI backlog never recognised (counterparty)</t>
        </is>
      </c>
      <c r="B327" s="26" t="n">
        <v>0</v>
      </c>
    </row>
    <row r="328">
      <c r="A328" s="38" t="inlineStr">
        <is>
          <t>Legacy backlog conversion, % per year</t>
        </is>
      </c>
      <c r="C328" s="26" t="n">
        <v>0.42</v>
      </c>
      <c r="D328" s="26" t="n">
        <v>0.26</v>
      </c>
      <c r="E328" s="26" t="n">
        <v>0.15</v>
      </c>
      <c r="F328" s="26" t="n">
        <v>0.08</v>
      </c>
      <c r="G328" s="26" t="n">
        <v>0.05</v>
      </c>
    </row>
    <row r="329">
      <c r="A329" s="38" t="inlineStr">
        <is>
          <t>Share of the m13–36 bucket falling in FY28</t>
        </is>
      </c>
      <c r="B329" s="26" t="n">
        <v>0.48</v>
      </c>
    </row>
    <row r="330">
      <c r="A330" s="38" t="inlineStr">
        <is>
          <t>Share of the m37–60 bucket falling in FY30</t>
        </is>
      </c>
      <c r="B330" s="26" t="n">
        <v>0.52</v>
      </c>
    </row>
    <row r="331">
      <c r="A331" s="38" t="inlineStr">
        <is>
          <t>New bookings signed after 5/31/26 ($m)</t>
        </is>
      </c>
      <c r="C331" s="25" t="n">
        <v>160000</v>
      </c>
      <c r="D331" s="25" t="n">
        <v>140000</v>
      </c>
      <c r="E331" s="25" t="n">
        <v>120000</v>
      </c>
      <c r="F331" s="25" t="n">
        <v>110000</v>
      </c>
      <c r="G331" s="25" t="n">
        <v>100000</v>
      </c>
    </row>
    <row r="332">
      <c r="A332" s="38" t="inlineStr">
        <is>
          <t>New-bookings conversion, % per year</t>
        </is>
      </c>
      <c r="C332" s="26" t="n">
        <v>0.05</v>
      </c>
      <c r="D332" s="26" t="n">
        <v>0.12</v>
      </c>
      <c r="E332" s="26" t="n">
        <v>0.17</v>
      </c>
      <c r="F332" s="26" t="n">
        <v>0.18</v>
      </c>
      <c r="G332" s="26" t="n">
        <v>0.17</v>
      </c>
    </row>
    <row r="333">
      <c r="A333" s="38" t="inlineStr">
        <is>
          <t>Revenue not covered by RPO, FY27 ($m)</t>
        </is>
      </c>
      <c r="B333" s="25" t="n">
        <v>8500</v>
      </c>
    </row>
    <row r="334">
      <c r="A334" s="38" t="inlineStr">
        <is>
          <t xml:space="preserve">  growth</t>
        </is>
      </c>
      <c r="B334" s="26" t="n">
        <v>0.03</v>
      </c>
    </row>
    <row r="336">
      <c r="A336" s="38" t="inlineStr">
        <is>
          <t>Cloud Applications (SaaS) growth</t>
        </is>
      </c>
      <c r="C336" s="26" t="n">
        <v>0.13</v>
      </c>
      <c r="D336" s="26" t="n">
        <v>0.12</v>
      </c>
      <c r="E336" s="26" t="n">
        <v>0.11</v>
      </c>
      <c r="F336" s="26" t="n">
        <v>0.1</v>
      </c>
      <c r="G336" s="26" t="n">
        <v>0.09</v>
      </c>
    </row>
    <row r="337">
      <c r="A337" s="38" t="inlineStr">
        <is>
          <t>Software licence growth</t>
        </is>
      </c>
      <c r="C337" s="26" t="n">
        <v>-0.06</v>
      </c>
      <c r="D337" s="26" t="n">
        <v>-0.06</v>
      </c>
      <c r="E337" s="26" t="n">
        <v>-0.06</v>
      </c>
      <c r="F337" s="26" t="n">
        <v>-0.06</v>
      </c>
      <c r="G337" s="26" t="n">
        <v>-0.06</v>
      </c>
    </row>
    <row r="338">
      <c r="A338" s="38" t="inlineStr">
        <is>
          <t>Software support growth</t>
        </is>
      </c>
      <c r="C338" s="26" t="n">
        <v>-0.005</v>
      </c>
      <c r="D338" s="26" t="n">
        <v>-0.005</v>
      </c>
      <c r="E338" s="26" t="n">
        <v>-0.005</v>
      </c>
      <c r="F338" s="26" t="n">
        <v>-0.005</v>
      </c>
      <c r="G338" s="26" t="n">
        <v>-0.005</v>
      </c>
    </row>
    <row r="339">
      <c r="A339" s="38" t="inlineStr">
        <is>
          <t>Services growth</t>
        </is>
      </c>
      <c r="C339" s="26" t="n">
        <v>0.08</v>
      </c>
      <c r="D339" s="26" t="n">
        <v>0.07000000000000001</v>
      </c>
      <c r="E339" s="26" t="n">
        <v>0.06</v>
      </c>
      <c r="F339" s="26" t="n">
        <v>0.05</v>
      </c>
      <c r="G339" s="26" t="n">
        <v>0.05</v>
      </c>
    </row>
    <row r="340">
      <c r="A340" s="38" t="inlineStr">
        <is>
          <t>Hardware growth</t>
        </is>
      </c>
      <c r="C340" s="26" t="n">
        <v>0.05</v>
      </c>
      <c r="D340" s="26" t="n">
        <v>0.05</v>
      </c>
      <c r="E340" s="26" t="n">
        <v>0.04</v>
      </c>
      <c r="F340" s="26" t="n">
        <v>0.04</v>
      </c>
      <c r="G340" s="26" t="n">
        <v>0.04</v>
      </c>
    </row>
    <row r="342">
      <c r="A342" s="38" t="inlineStr">
        <is>
          <t>IaaS cost ex-depreciation, % of IaaS revenue</t>
        </is>
      </c>
      <c r="C342" s="26" t="n">
        <v>0.36</v>
      </c>
      <c r="D342" s="26" t="n">
        <v>0.335</v>
      </c>
      <c r="E342" s="26" t="n">
        <v>0.31</v>
      </c>
      <c r="F342" s="26" t="n">
        <v>0.29</v>
      </c>
      <c r="G342" s="26" t="n">
        <v>0.275</v>
      </c>
    </row>
    <row r="343">
      <c r="A343" s="38" t="inlineStr">
        <is>
          <t>Share of total depreciation charged to IaaS COGS</t>
        </is>
      </c>
      <c r="C343" s="26" t="n">
        <v>0.8</v>
      </c>
      <c r="D343" s="26" t="n">
        <v>0.84</v>
      </c>
      <c r="E343" s="26" t="n">
        <v>0.87</v>
      </c>
      <c r="F343" s="26" t="n">
        <v>0.89</v>
      </c>
      <c r="G343" s="26" t="n">
        <v>0.9</v>
      </c>
    </row>
    <row r="344">
      <c r="A344" s="38" t="inlineStr">
        <is>
          <t>SaaS gross margin</t>
        </is>
      </c>
      <c r="C344" s="26" t="n">
        <v>0.78</v>
      </c>
      <c r="D344" s="26" t="n">
        <v>0.785</v>
      </c>
      <c r="E344" s="26" t="n">
        <v>0.79</v>
      </c>
      <c r="F344" s="26" t="n">
        <v>0.795</v>
      </c>
      <c r="G344" s="26" t="n">
        <v>0.8</v>
      </c>
    </row>
    <row r="345">
      <c r="A345" s="38" t="inlineStr">
        <is>
          <t>Software support gross margin</t>
        </is>
      </c>
      <c r="C345" s="26" t="n">
        <v>0.93</v>
      </c>
      <c r="D345" s="26" t="n">
        <v>0.93</v>
      </c>
      <c r="E345" s="26" t="n">
        <v>0.93</v>
      </c>
      <c r="F345" s="26" t="n">
        <v>0.93</v>
      </c>
      <c r="G345" s="26" t="n">
        <v>0.93</v>
      </c>
    </row>
    <row r="346">
      <c r="A346" s="38" t="inlineStr">
        <is>
          <t>Software licence gross margin</t>
        </is>
      </c>
      <c r="C346" s="26" t="n">
        <v>0.98</v>
      </c>
      <c r="D346" s="26" t="n">
        <v>0.98</v>
      </c>
      <c r="E346" s="26" t="n">
        <v>0.98</v>
      </c>
      <c r="F346" s="26" t="n">
        <v>0.98</v>
      </c>
      <c r="G346" s="26" t="n">
        <v>0.98</v>
      </c>
    </row>
    <row r="347">
      <c r="A347" s="38" t="inlineStr">
        <is>
          <t>Services gross margin</t>
        </is>
      </c>
      <c r="C347" s="26" t="n">
        <v>0.21</v>
      </c>
      <c r="D347" s="26" t="n">
        <v>0.215</v>
      </c>
      <c r="E347" s="26" t="n">
        <v>0.22</v>
      </c>
      <c r="F347" s="26" t="n">
        <v>0.22</v>
      </c>
      <c r="G347" s="26" t="n">
        <v>0.22</v>
      </c>
    </row>
    <row r="348">
      <c r="A348" s="38" t="inlineStr">
        <is>
          <t>Hardware gross margin</t>
        </is>
      </c>
      <c r="C348" s="26" t="n">
        <v>0.72</v>
      </c>
      <c r="D348" s="26" t="n">
        <v>0.72</v>
      </c>
      <c r="E348" s="26" t="n">
        <v>0.72</v>
      </c>
      <c r="F348" s="26" t="n">
        <v>0.72</v>
      </c>
      <c r="G348" s="26" t="n">
        <v>0.72</v>
      </c>
    </row>
    <row r="350">
      <c r="A350" s="38" t="inlineStr">
        <is>
          <t>Sales &amp; marketing, % of revenue</t>
        </is>
      </c>
      <c r="C350" s="26" t="n">
        <v>0.09</v>
      </c>
      <c r="D350" s="26" t="n">
        <v>0.079</v>
      </c>
      <c r="E350" s="26" t="n">
        <v>0.07199999999999999</v>
      </c>
      <c r="F350" s="26" t="n">
        <v>0.068</v>
      </c>
      <c r="G350" s="26" t="n">
        <v>0.065</v>
      </c>
    </row>
    <row r="351">
      <c r="A351" s="38" t="inlineStr">
        <is>
          <t>R&amp;D growth</t>
        </is>
      </c>
      <c r="C351" s="26" t="n">
        <v>0.08</v>
      </c>
      <c r="D351" s="26" t="n">
        <v>0.08</v>
      </c>
      <c r="E351" s="26" t="n">
        <v>0.07000000000000001</v>
      </c>
      <c r="F351" s="26" t="n">
        <v>0.06</v>
      </c>
      <c r="G351" s="26" t="n">
        <v>0.06</v>
      </c>
    </row>
    <row r="352">
      <c r="A352" s="38" t="inlineStr">
        <is>
          <t>G&amp;A growth</t>
        </is>
      </c>
      <c r="C352" s="26" t="n">
        <v>0.05</v>
      </c>
      <c r="D352" s="26" t="n">
        <v>0.05</v>
      </c>
      <c r="E352" s="26" t="n">
        <v>0.05</v>
      </c>
      <c r="F352" s="26" t="n">
        <v>0.05</v>
      </c>
      <c r="G352" s="26" t="n">
        <v>0.05</v>
      </c>
    </row>
    <row r="353">
      <c r="A353" s="38" t="inlineStr">
        <is>
          <t>Stock-based compensation growth</t>
        </is>
      </c>
      <c r="C353" s="26" t="n">
        <v>0.06</v>
      </c>
      <c r="D353" s="26" t="n">
        <v>0.06</v>
      </c>
      <c r="E353" s="26" t="n">
        <v>0.05</v>
      </c>
      <c r="F353" s="26" t="n">
        <v>0.05</v>
      </c>
      <c r="G353" s="26" t="n">
        <v>0.05</v>
      </c>
    </row>
    <row r="354">
      <c r="A354" s="38" t="inlineStr">
        <is>
          <t>Restructuring &amp; other ($m)</t>
        </is>
      </c>
      <c r="C354" s="25" t="n">
        <v>600</v>
      </c>
      <c r="D354" s="25" t="n">
        <v>400</v>
      </c>
      <c r="E354" s="25" t="n">
        <v>300</v>
      </c>
      <c r="F354" s="25" t="n">
        <v>300</v>
      </c>
      <c r="G354" s="25" t="n">
        <v>300</v>
      </c>
    </row>
    <row r="355">
      <c r="A355" s="38" t="inlineStr">
        <is>
          <t>Asset impairment ($m) — bear only</t>
        </is>
      </c>
      <c r="C355" s="25" t="n">
        <v>0</v>
      </c>
      <c r="D355" s="25" t="n">
        <v>0</v>
      </c>
      <c r="E355" s="25" t="n">
        <v>0</v>
      </c>
      <c r="F355" s="25" t="n">
        <v>0</v>
      </c>
      <c r="G355" s="25" t="n">
        <v>0</v>
      </c>
    </row>
    <row r="356">
      <c r="A356" s="38" t="inlineStr">
        <is>
          <t>Intangible amortisation ($m)</t>
        </is>
      </c>
      <c r="C356" s="25" t="n">
        <v>731</v>
      </c>
      <c r="D356" s="25" t="n">
        <v>694</v>
      </c>
      <c r="E356" s="25" t="n">
        <v>620</v>
      </c>
      <c r="F356" s="25" t="n">
        <v>582</v>
      </c>
      <c r="G356" s="25" t="n">
        <v>377</v>
      </c>
    </row>
    <row r="358">
      <c r="A358" s="38" t="inlineStr">
        <is>
          <t>IaaS revenue per $ gross PP&amp;E at full utilisation</t>
        </is>
      </c>
      <c r="B358" s="27" t="n">
        <v>0.55</v>
      </c>
    </row>
    <row r="359">
      <c r="A359" s="38" t="inlineStr">
        <is>
          <t>Utilisation of installed capacity</t>
        </is>
      </c>
      <c r="C359" s="26" t="n">
        <v>0.78</v>
      </c>
      <c r="D359" s="26" t="n">
        <v>0.87</v>
      </c>
      <c r="E359" s="26" t="n">
        <v>0.91</v>
      </c>
      <c r="F359" s="26" t="n">
        <v>0.92</v>
      </c>
      <c r="G359" s="26" t="n">
        <v>0.92</v>
      </c>
    </row>
    <row r="360">
      <c r="A360" s="38" t="inlineStr">
        <is>
          <t>Capacity funded by customers (prepay + customer GPUs)</t>
        </is>
      </c>
      <c r="C360" s="26" t="n">
        <v>0.28</v>
      </c>
      <c r="D360" s="26" t="n">
        <v>0.28</v>
      </c>
      <c r="E360" s="26" t="n">
        <v>0.24</v>
      </c>
      <c r="F360" s="26" t="n">
        <v>0.22</v>
      </c>
      <c r="G360" s="26" t="n">
        <v>0.2</v>
      </c>
    </row>
    <row r="361">
      <c r="A361" s="38" t="inlineStr">
        <is>
          <t>Maintenance capex, % of depreciation</t>
        </is>
      </c>
      <c r="C361" s="26" t="n">
        <v>0.3</v>
      </c>
      <c r="D361" s="26" t="n">
        <v>0.35</v>
      </c>
      <c r="E361" s="26" t="n">
        <v>0.4</v>
      </c>
      <c r="F361" s="26" t="n">
        <v>0.45</v>
      </c>
      <c r="G361" s="26" t="n">
        <v>0.5</v>
      </c>
    </row>
    <row r="362">
      <c r="A362" s="38" t="inlineStr">
        <is>
          <t>Committed capex floor ($m)</t>
        </is>
      </c>
      <c r="C362" s="25" t="n">
        <v>88000</v>
      </c>
      <c r="D362" s="25" t="n">
        <v>32000</v>
      </c>
      <c r="E362" s="25" t="n">
        <v>22000</v>
      </c>
      <c r="F362" s="25" t="n">
        <v>16000</v>
      </c>
      <c r="G362" s="25" t="n">
        <v>16000</v>
      </c>
    </row>
    <row r="363">
      <c r="A363" s="38" t="inlineStr">
        <is>
          <t>IaaS growth assumed in FY32 (to size FY31 capex)</t>
        </is>
      </c>
      <c r="B363" s="26" t="n">
        <v>0.1</v>
      </c>
    </row>
    <row r="364">
      <c r="A364" s="38" t="inlineStr">
        <is>
          <t>Capex mix: equipment</t>
        </is>
      </c>
      <c r="B364" s="26" t="n">
        <v>0.62</v>
      </c>
    </row>
    <row r="365">
      <c r="A365" s="38" t="inlineStr">
        <is>
          <t>Capex mix: buildings/shell</t>
        </is>
      </c>
      <c r="B365" s="26" t="n">
        <v>0.3</v>
      </c>
    </row>
    <row r="366">
      <c r="A366" s="38" t="inlineStr">
        <is>
          <t>Capex mix: land &amp; non-depreciating</t>
        </is>
      </c>
      <c r="B366" s="26" t="n">
        <v>0.08</v>
      </c>
    </row>
    <row r="367">
      <c r="A367" s="38" t="inlineStr">
        <is>
          <t>Equipment life (years)</t>
        </is>
      </c>
      <c r="B367" s="28" t="n">
        <v>6</v>
      </c>
    </row>
    <row r="368">
      <c r="A368" s="38" t="inlineStr">
        <is>
          <t>Buildings life (years)</t>
        </is>
      </c>
      <c r="B368" s="28" t="n">
        <v>25</v>
      </c>
    </row>
    <row r="369">
      <c r="A369" s="38" t="inlineStr">
        <is>
          <t>Construction in progress at 5/31/26 ($m)</t>
        </is>
      </c>
      <c r="B369" s="25" t="n">
        <v>39973</v>
      </c>
    </row>
    <row r="370">
      <c r="A370" s="38" t="inlineStr">
        <is>
          <t>CIP placed in service in FY27</t>
        </is>
      </c>
      <c r="B370" s="26" t="n">
        <v>0.7</v>
      </c>
    </row>
    <row r="371">
      <c r="A371" s="38" t="inlineStr">
        <is>
          <t>CIP placed in service in FY28</t>
        </is>
      </c>
      <c r="B371" s="26" t="n">
        <v>0.3</v>
      </c>
    </row>
    <row r="372">
      <c r="A372" s="38" t="inlineStr">
        <is>
          <t>Capex placed in service in year spent</t>
        </is>
      </c>
      <c r="B372" s="26" t="n">
        <v>0.4</v>
      </c>
    </row>
    <row r="373">
      <c r="A373" s="38" t="inlineStr">
        <is>
          <t>Capex placed in service in following year</t>
        </is>
      </c>
      <c r="B373" s="26" t="n">
        <v>0.6</v>
      </c>
    </row>
    <row r="374">
      <c r="A374" s="38" t="inlineStr">
        <is>
          <t>Remaining life of existing in-service base (yrs)</t>
        </is>
      </c>
      <c r="B374" s="28" t="n">
        <v>5</v>
      </c>
    </row>
    <row r="376">
      <c r="A376" s="38" t="inlineStr">
        <is>
          <t>Pre-tax cost of NEW debt</t>
        </is>
      </c>
      <c r="B376" s="29" t="n">
        <v>0.06</v>
      </c>
    </row>
    <row r="377">
      <c r="A377" s="38" t="inlineStr">
        <is>
          <t>Blended rate on existing debt</t>
        </is>
      </c>
      <c r="B377" s="29" t="n">
        <v>0.043</v>
      </c>
    </row>
    <row r="378">
      <c r="A378" s="38" t="inlineStr">
        <is>
          <t>Interest income rate on cash</t>
        </is>
      </c>
      <c r="B378" s="29" t="n">
        <v>0.035</v>
      </c>
    </row>
    <row r="379">
      <c r="A379" s="38" t="inlineStr">
        <is>
          <t>Equity issuance ($m)</t>
        </is>
      </c>
      <c r="C379" s="25" t="n">
        <v>20000</v>
      </c>
      <c r="D379" s="25" t="n">
        <v>0</v>
      </c>
      <c r="E379" s="25" t="n">
        <v>0</v>
      </c>
      <c r="F379" s="25" t="n">
        <v>0</v>
      </c>
      <c r="G379" s="25" t="n">
        <v>0</v>
      </c>
    </row>
    <row r="380">
      <c r="A380" s="38" t="inlineStr">
        <is>
          <t>Assumed issue price ($)</t>
        </is>
      </c>
      <c r="C380" s="30" t="n">
        <v>175</v>
      </c>
      <c r="D380" s="30" t="n">
        <v>0</v>
      </c>
      <c r="E380" s="30" t="n">
        <v>0</v>
      </c>
      <c r="F380" s="30" t="n">
        <v>0</v>
      </c>
      <c r="G380" s="30" t="n">
        <v>0</v>
      </c>
    </row>
    <row r="381">
      <c r="A381" s="38" t="inlineStr">
        <is>
          <t>GAAP effective tax rate</t>
        </is>
      </c>
      <c r="C381" s="26" t="n">
        <v>0.16</v>
      </c>
      <c r="D381" s="26" t="n">
        <v>0.17</v>
      </c>
      <c r="E381" s="26" t="n">
        <v>0.175</v>
      </c>
      <c r="F381" s="26" t="n">
        <v>0.18</v>
      </c>
      <c r="G381" s="26" t="n">
        <v>0.18</v>
      </c>
    </row>
    <row r="382">
      <c r="A382" s="38" t="inlineStr">
        <is>
          <t>Non-GAAP tax rate</t>
        </is>
      </c>
      <c r="C382" s="26" t="n">
        <v>0.2</v>
      </c>
      <c r="D382" s="26" t="n">
        <v>0.2</v>
      </c>
      <c r="E382" s="26" t="n">
        <v>0.2</v>
      </c>
      <c r="F382" s="26" t="n">
        <v>0.2</v>
      </c>
      <c r="G382" s="26" t="n">
        <v>0.2</v>
      </c>
    </row>
    <row r="383">
      <c r="A383" s="38" t="inlineStr">
        <is>
          <t>Common dividend per share ($)</t>
        </is>
      </c>
      <c r="C383" s="30" t="n">
        <v>2</v>
      </c>
      <c r="D383" s="30" t="n">
        <v>2</v>
      </c>
      <c r="E383" s="30" t="n">
        <v>2.04</v>
      </c>
      <c r="F383" s="30" t="n">
        <v>2.12</v>
      </c>
      <c r="G383" s="30" t="n">
        <v>2.2</v>
      </c>
    </row>
    <row r="384">
      <c r="A384" s="38" t="inlineStr">
        <is>
          <t>Annual net dilution from stock awards</t>
        </is>
      </c>
      <c r="B384" s="26" t="n">
        <v>0.01</v>
      </c>
    </row>
    <row r="385">
      <c r="A385" s="38" t="inlineStr">
        <is>
          <t>Shares on mandatory conversion (m)</t>
        </is>
      </c>
      <c r="B385" s="28" t="n">
        <v>31.238285</v>
      </c>
    </row>
    <row r="386">
      <c r="A386" s="38" t="inlineStr">
        <is>
          <t>Preferred dividend, annual ($m)</t>
        </is>
      </c>
      <c r="B386" s="25" t="n">
        <v>325</v>
      </c>
    </row>
    <row r="387">
      <c r="A387" s="38" t="inlineStr">
        <is>
          <t>Customer prepayments in OCF ($m)</t>
        </is>
      </c>
      <c r="C387" s="25" t="n">
        <v>6000</v>
      </c>
      <c r="D387" s="25" t="n">
        <v>4000</v>
      </c>
      <c r="E387" s="25" t="n">
        <v>2000</v>
      </c>
      <c r="F387" s="25" t="n">
        <v>1000</v>
      </c>
      <c r="G387" s="25" t="n">
        <v>1000</v>
      </c>
    </row>
    <row r="388">
      <c r="A388" s="38" t="inlineStr">
        <is>
          <t>Short-term financing re capex ($m)</t>
        </is>
      </c>
      <c r="C388" s="25" t="n">
        <v>4000</v>
      </c>
      <c r="D388" s="25" t="n">
        <v>3000</v>
      </c>
      <c r="E388" s="25" t="n">
        <v>2000</v>
      </c>
      <c r="F388" s="25" t="n">
        <v>1500</v>
      </c>
      <c r="G388" s="25" t="n">
        <v>1500</v>
      </c>
    </row>
    <row r="389">
      <c r="A389" s="38" t="inlineStr">
        <is>
          <t>Incremental NWC, % of revenue change</t>
        </is>
      </c>
      <c r="B389" s="26" t="n">
        <v>0.02</v>
      </c>
    </row>
    <row r="390">
      <c r="A390" s="38" t="inlineStr">
        <is>
          <t>Total debt at 5/31/26 ($m)</t>
        </is>
      </c>
      <c r="B390" s="25" t="n">
        <v>129541</v>
      </c>
    </row>
    <row r="391">
      <c r="A391" s="38" t="inlineStr">
        <is>
          <t>Cash + marketable securities at 5/31/26 ($m)</t>
        </is>
      </c>
      <c r="B391" s="25" t="n">
        <v>31894</v>
      </c>
    </row>
    <row r="392">
      <c r="A392" s="38" t="inlineStr">
        <is>
          <t>Scheduled debt maturities ($m)</t>
        </is>
      </c>
      <c r="C392" s="25" t="n">
        <v>7210</v>
      </c>
      <c r="D392" s="25" t="n">
        <v>10145</v>
      </c>
      <c r="E392" s="25" t="n">
        <v>5500</v>
      </c>
      <c r="F392" s="25" t="n">
        <v>7250</v>
      </c>
      <c r="G392" s="25" t="n">
        <v>9750</v>
      </c>
    </row>
    <row r="394">
      <c r="A394" s="38" t="inlineStr">
        <is>
          <t>WACC</t>
        </is>
      </c>
      <c r="B394" s="29" t="n">
        <v>0.095</v>
      </c>
    </row>
    <row r="395">
      <c r="A395" s="38" t="inlineStr">
        <is>
          <t>DCF terminal growth</t>
        </is>
      </c>
      <c r="B395" s="26" t="n">
        <v>0.035</v>
      </c>
    </row>
    <row r="438">
      <c r="A438" s="4" t="inlineStr">
        <is>
          <t>BEAR SCENARIO INPUT BLOCK — edit here</t>
        </is>
      </c>
    </row>
    <row r="439">
      <c r="A439" s="23" t="inlineStr">
        <is>
          <t>Driver</t>
        </is>
      </c>
      <c r="B439" s="24" t="inlineStr">
        <is>
          <t>single</t>
        </is>
      </c>
      <c r="C439" s="24" t="inlineStr">
        <is>
          <t>FY2027</t>
        </is>
      </c>
      <c r="D439" s="24" t="inlineStr">
        <is>
          <t>FY2028</t>
        </is>
      </c>
      <c r="E439" s="24" t="inlineStr">
        <is>
          <t>FY2029</t>
        </is>
      </c>
      <c r="F439" s="24" t="inlineStr">
        <is>
          <t>FY2030</t>
        </is>
      </c>
      <c r="G439" s="24" t="inlineStr">
        <is>
          <t>FY2031</t>
        </is>
      </c>
    </row>
    <row r="441">
      <c r="A441" s="38" t="inlineStr">
        <is>
          <t>RPO at 5/31/2026 ($m)</t>
        </is>
      </c>
      <c r="B441" s="25" t="n">
        <v>638000</v>
      </c>
    </row>
    <row r="442">
      <c r="A442" s="38" t="inlineStr">
        <is>
          <t>Disclosed: recognised over next 12 months</t>
        </is>
      </c>
      <c r="B442" s="26" t="n">
        <v>0.12</v>
      </c>
    </row>
    <row r="443">
      <c r="A443" s="38" t="inlineStr">
        <is>
          <t>Disclosed: months 13–36</t>
        </is>
      </c>
      <c r="B443" s="26" t="n">
        <v>0.34</v>
      </c>
    </row>
    <row r="444">
      <c r="A444" s="38" t="inlineStr">
        <is>
          <t>Disclosed: months 37–60</t>
        </is>
      </c>
      <c r="B444" s="26" t="n">
        <v>0.34</v>
      </c>
    </row>
    <row r="445">
      <c r="A445" s="38" t="inlineStr">
        <is>
          <t>Disclosed: thereafter (residual)</t>
        </is>
      </c>
      <c r="B445" s="26" t="n">
        <v>0.2</v>
      </c>
    </row>
    <row r="446">
      <c r="A446" s="38" t="inlineStr">
        <is>
          <t>"Legacy" (pre-AI) backlog ($m)</t>
        </is>
      </c>
      <c r="B446" s="25" t="n">
        <v>140000</v>
      </c>
    </row>
    <row r="447">
      <c r="A447" s="38" t="inlineStr">
        <is>
          <t>AI backlog never recognised (counterparty)</t>
        </is>
      </c>
      <c r="B447" s="26" t="n">
        <v>0.2</v>
      </c>
    </row>
    <row r="448">
      <c r="A448" s="38" t="inlineStr">
        <is>
          <t>Legacy backlog conversion, % per year</t>
        </is>
      </c>
      <c r="C448" s="26" t="n">
        <v>0.36</v>
      </c>
      <c r="D448" s="26" t="n">
        <v>0.23</v>
      </c>
      <c r="E448" s="26" t="n">
        <v>0.14</v>
      </c>
      <c r="F448" s="26" t="n">
        <v>0.08</v>
      </c>
      <c r="G448" s="26" t="n">
        <v>0.05</v>
      </c>
    </row>
    <row r="449">
      <c r="A449" s="38" t="inlineStr">
        <is>
          <t>Share of the m13–36 bucket falling in FY28</t>
        </is>
      </c>
      <c r="B449" s="26" t="n">
        <v>0.38</v>
      </c>
    </row>
    <row r="450">
      <c r="A450" s="38" t="inlineStr">
        <is>
          <t>Share of the m37–60 bucket falling in FY30</t>
        </is>
      </c>
      <c r="B450" s="26" t="n">
        <v>0.45</v>
      </c>
    </row>
    <row r="451">
      <c r="A451" s="38" t="inlineStr">
        <is>
          <t>New bookings signed after 5/31/26 ($m)</t>
        </is>
      </c>
      <c r="C451" s="25" t="n">
        <v>60000</v>
      </c>
      <c r="D451" s="25" t="n">
        <v>40000</v>
      </c>
      <c r="E451" s="25" t="n">
        <v>35000</v>
      </c>
      <c r="F451" s="25" t="n">
        <v>30000</v>
      </c>
      <c r="G451" s="25" t="n">
        <v>30000</v>
      </c>
    </row>
    <row r="452">
      <c r="A452" s="38" t="inlineStr">
        <is>
          <t>New-bookings conversion, % per year</t>
        </is>
      </c>
      <c r="C452" s="26" t="n">
        <v>0.03</v>
      </c>
      <c r="D452" s="26" t="n">
        <v>0.08</v>
      </c>
      <c r="E452" s="26" t="n">
        <v>0.12</v>
      </c>
      <c r="F452" s="26" t="n">
        <v>0.14</v>
      </c>
      <c r="G452" s="26" t="n">
        <v>0.14</v>
      </c>
    </row>
    <row r="453">
      <c r="A453" s="38" t="inlineStr">
        <is>
          <t>Revenue not covered by RPO, FY27 ($m)</t>
        </is>
      </c>
      <c r="B453" s="25" t="n">
        <v>8500</v>
      </c>
    </row>
    <row r="454">
      <c r="A454" s="38" t="inlineStr">
        <is>
          <t xml:space="preserve">  growth</t>
        </is>
      </c>
      <c r="B454" s="26" t="n">
        <v>0.03</v>
      </c>
    </row>
    <row r="456">
      <c r="A456" s="38" t="inlineStr">
        <is>
          <t>Cloud Applications (SaaS) growth</t>
        </is>
      </c>
      <c r="C456" s="26" t="n">
        <v>0.1</v>
      </c>
      <c r="D456" s="26" t="n">
        <v>0.08</v>
      </c>
      <c r="E456" s="26" t="n">
        <v>0.07000000000000001</v>
      </c>
      <c r="F456" s="26" t="n">
        <v>0.06</v>
      </c>
      <c r="G456" s="26" t="n">
        <v>0.05</v>
      </c>
    </row>
    <row r="457">
      <c r="A457" s="38" t="inlineStr">
        <is>
          <t>Software licence growth</t>
        </is>
      </c>
      <c r="C457" s="26" t="n">
        <v>-0.06</v>
      </c>
      <c r="D457" s="26" t="n">
        <v>-0.06</v>
      </c>
      <c r="E457" s="26" t="n">
        <v>-0.06</v>
      </c>
      <c r="F457" s="26" t="n">
        <v>-0.06</v>
      </c>
      <c r="G457" s="26" t="n">
        <v>-0.06</v>
      </c>
    </row>
    <row r="458">
      <c r="A458" s="38" t="inlineStr">
        <is>
          <t>Software support growth</t>
        </is>
      </c>
      <c r="C458" s="26" t="n">
        <v>-0.005</v>
      </c>
      <c r="D458" s="26" t="n">
        <v>-0.005</v>
      </c>
      <c r="E458" s="26" t="n">
        <v>-0.005</v>
      </c>
      <c r="F458" s="26" t="n">
        <v>-0.005</v>
      </c>
      <c r="G458" s="26" t="n">
        <v>-0.005</v>
      </c>
    </row>
    <row r="459">
      <c r="A459" s="38" t="inlineStr">
        <is>
          <t>Services growth</t>
        </is>
      </c>
      <c r="C459" s="26" t="n">
        <v>0.05</v>
      </c>
      <c r="D459" s="26" t="n">
        <v>0.04</v>
      </c>
      <c r="E459" s="26" t="n">
        <v>0.03</v>
      </c>
      <c r="F459" s="26" t="n">
        <v>0.03</v>
      </c>
      <c r="G459" s="26" t="n">
        <v>0.03</v>
      </c>
    </row>
    <row r="460">
      <c r="A460" s="38" t="inlineStr">
        <is>
          <t>Hardware growth</t>
        </is>
      </c>
      <c r="C460" s="26" t="n">
        <v>0.05</v>
      </c>
      <c r="D460" s="26" t="n">
        <v>0.05</v>
      </c>
      <c r="E460" s="26" t="n">
        <v>0.04</v>
      </c>
      <c r="F460" s="26" t="n">
        <v>0.04</v>
      </c>
      <c r="G460" s="26" t="n">
        <v>0.04</v>
      </c>
    </row>
    <row r="462">
      <c r="A462" s="38" t="inlineStr">
        <is>
          <t>IaaS cost ex-depreciation, % of IaaS revenue</t>
        </is>
      </c>
      <c r="C462" s="26" t="n">
        <v>0.4</v>
      </c>
      <c r="D462" s="26" t="n">
        <v>0.395</v>
      </c>
      <c r="E462" s="26" t="n">
        <v>0.385</v>
      </c>
      <c r="F462" s="26" t="n">
        <v>0.375</v>
      </c>
      <c r="G462" s="26" t="n">
        <v>0.37</v>
      </c>
    </row>
    <row r="463">
      <c r="A463" s="38" t="inlineStr">
        <is>
          <t>Share of total depreciation charged to IaaS COGS</t>
        </is>
      </c>
      <c r="C463" s="26" t="n">
        <v>0.82</v>
      </c>
      <c r="D463" s="26" t="n">
        <v>0.86</v>
      </c>
      <c r="E463" s="26" t="n">
        <v>0.89</v>
      </c>
      <c r="F463" s="26" t="n">
        <v>0.91</v>
      </c>
      <c r="G463" s="26" t="n">
        <v>0.92</v>
      </c>
    </row>
    <row r="464">
      <c r="A464" s="38" t="inlineStr">
        <is>
          <t>SaaS gross margin</t>
        </is>
      </c>
      <c r="C464" s="26" t="n">
        <v>0.78</v>
      </c>
      <c r="D464" s="26" t="n">
        <v>0.785</v>
      </c>
      <c r="E464" s="26" t="n">
        <v>0.79</v>
      </c>
      <c r="F464" s="26" t="n">
        <v>0.795</v>
      </c>
      <c r="G464" s="26" t="n">
        <v>0.8</v>
      </c>
    </row>
    <row r="465">
      <c r="A465" s="38" t="inlineStr">
        <is>
          <t>Software support gross margin</t>
        </is>
      </c>
      <c r="C465" s="26" t="n">
        <v>0.93</v>
      </c>
      <c r="D465" s="26" t="n">
        <v>0.93</v>
      </c>
      <c r="E465" s="26" t="n">
        <v>0.93</v>
      </c>
      <c r="F465" s="26" t="n">
        <v>0.93</v>
      </c>
      <c r="G465" s="26" t="n">
        <v>0.93</v>
      </c>
    </row>
    <row r="466">
      <c r="A466" s="38" t="inlineStr">
        <is>
          <t>Software licence gross margin</t>
        </is>
      </c>
      <c r="C466" s="26" t="n">
        <v>0.98</v>
      </c>
      <c r="D466" s="26" t="n">
        <v>0.98</v>
      </c>
      <c r="E466" s="26" t="n">
        <v>0.98</v>
      </c>
      <c r="F466" s="26" t="n">
        <v>0.98</v>
      </c>
      <c r="G466" s="26" t="n">
        <v>0.98</v>
      </c>
    </row>
    <row r="467">
      <c r="A467" s="38" t="inlineStr">
        <is>
          <t>Services gross margin</t>
        </is>
      </c>
      <c r="C467" s="26" t="n">
        <v>0.21</v>
      </c>
      <c r="D467" s="26" t="n">
        <v>0.215</v>
      </c>
      <c r="E467" s="26" t="n">
        <v>0.22</v>
      </c>
      <c r="F467" s="26" t="n">
        <v>0.22</v>
      </c>
      <c r="G467" s="26" t="n">
        <v>0.22</v>
      </c>
    </row>
    <row r="468">
      <c r="A468" s="38" t="inlineStr">
        <is>
          <t>Hardware gross margin</t>
        </is>
      </c>
      <c r="C468" s="26" t="n">
        <v>0.72</v>
      </c>
      <c r="D468" s="26" t="n">
        <v>0.72</v>
      </c>
      <c r="E468" s="26" t="n">
        <v>0.72</v>
      </c>
      <c r="F468" s="26" t="n">
        <v>0.72</v>
      </c>
      <c r="G468" s="26" t="n">
        <v>0.72</v>
      </c>
    </row>
    <row r="470">
      <c r="A470" s="38" t="inlineStr">
        <is>
          <t>Sales &amp; marketing, % of revenue</t>
        </is>
      </c>
      <c r="C470" s="26" t="n">
        <v>0.098</v>
      </c>
      <c r="D470" s="26" t="n">
        <v>0.092</v>
      </c>
      <c r="E470" s="26" t="n">
        <v>0.08799999999999999</v>
      </c>
      <c r="F470" s="26" t="n">
        <v>0.08500000000000001</v>
      </c>
      <c r="G470" s="26" t="n">
        <v>0.083</v>
      </c>
    </row>
    <row r="471">
      <c r="A471" s="38" t="inlineStr">
        <is>
          <t>R&amp;D growth</t>
        </is>
      </c>
      <c r="C471" s="26" t="n">
        <v>0.08</v>
      </c>
      <c r="D471" s="26" t="n">
        <v>0.08</v>
      </c>
      <c r="E471" s="26" t="n">
        <v>0.07000000000000001</v>
      </c>
      <c r="F471" s="26" t="n">
        <v>0.06</v>
      </c>
      <c r="G471" s="26" t="n">
        <v>0.06</v>
      </c>
    </row>
    <row r="472">
      <c r="A472" s="38" t="inlineStr">
        <is>
          <t>G&amp;A growth</t>
        </is>
      </c>
      <c r="C472" s="26" t="n">
        <v>0.05</v>
      </c>
      <c r="D472" s="26" t="n">
        <v>0.05</v>
      </c>
      <c r="E472" s="26" t="n">
        <v>0.05</v>
      </c>
      <c r="F472" s="26" t="n">
        <v>0.05</v>
      </c>
      <c r="G472" s="26" t="n">
        <v>0.05</v>
      </c>
    </row>
    <row r="473">
      <c r="A473" s="38" t="inlineStr">
        <is>
          <t>Stock-based compensation growth</t>
        </is>
      </c>
      <c r="C473" s="26" t="n">
        <v>0.06</v>
      </c>
      <c r="D473" s="26" t="n">
        <v>0.06</v>
      </c>
      <c r="E473" s="26" t="n">
        <v>0.05</v>
      </c>
      <c r="F473" s="26" t="n">
        <v>0.05</v>
      </c>
      <c r="G473" s="26" t="n">
        <v>0.05</v>
      </c>
    </row>
    <row r="474">
      <c r="A474" s="38" t="inlineStr">
        <is>
          <t>Restructuring &amp; other ($m)</t>
        </is>
      </c>
      <c r="C474" s="25" t="n">
        <v>600</v>
      </c>
      <c r="D474" s="25" t="n">
        <v>400</v>
      </c>
      <c r="E474" s="25" t="n">
        <v>300</v>
      </c>
      <c r="F474" s="25" t="n">
        <v>300</v>
      </c>
      <c r="G474" s="25" t="n">
        <v>300</v>
      </c>
    </row>
    <row r="475">
      <c r="A475" s="38" t="inlineStr">
        <is>
          <t>Asset impairment ($m) — bear only</t>
        </is>
      </c>
      <c r="C475" s="25" t="n">
        <v>0</v>
      </c>
      <c r="D475" s="25" t="n">
        <v>12000</v>
      </c>
      <c r="E475" s="25" t="n">
        <v>20000</v>
      </c>
      <c r="F475" s="25" t="n">
        <v>10000</v>
      </c>
      <c r="G475" s="25" t="n">
        <v>0</v>
      </c>
    </row>
    <row r="476">
      <c r="A476" s="38" t="inlineStr">
        <is>
          <t>Intangible amortisation ($m)</t>
        </is>
      </c>
      <c r="C476" s="25" t="n">
        <v>731</v>
      </c>
      <c r="D476" s="25" t="n">
        <v>694</v>
      </c>
      <c r="E476" s="25" t="n">
        <v>620</v>
      </c>
      <c r="F476" s="25" t="n">
        <v>582</v>
      </c>
      <c r="G476" s="25" t="n">
        <v>377</v>
      </c>
    </row>
    <row r="478">
      <c r="A478" s="38" t="inlineStr">
        <is>
          <t>IaaS revenue per $ gross PP&amp;E at full utilisation</t>
        </is>
      </c>
      <c r="B478" s="27" t="n">
        <v>0.44</v>
      </c>
    </row>
    <row r="479">
      <c r="A479" s="38" t="inlineStr">
        <is>
          <t>Utilisation of installed capacity</t>
        </is>
      </c>
      <c r="C479" s="26" t="n">
        <v>0.66</v>
      </c>
      <c r="D479" s="26" t="n">
        <v>0.66</v>
      </c>
      <c r="E479" s="26" t="n">
        <v>0.64</v>
      </c>
      <c r="F479" s="26" t="n">
        <v>0.62</v>
      </c>
      <c r="G479" s="26" t="n">
        <v>0.6</v>
      </c>
    </row>
    <row r="480">
      <c r="A480" s="38" t="inlineStr">
        <is>
          <t>Capacity funded by customers (prepay + customer GPUs)</t>
        </is>
      </c>
      <c r="C480" s="26" t="n">
        <v>0.22</v>
      </c>
      <c r="D480" s="26" t="n">
        <v>0.2</v>
      </c>
      <c r="E480" s="26" t="n">
        <v>0.15</v>
      </c>
      <c r="F480" s="26" t="n">
        <v>0.12</v>
      </c>
      <c r="G480" s="26" t="n">
        <v>0.1</v>
      </c>
    </row>
    <row r="481">
      <c r="A481" s="38" t="inlineStr">
        <is>
          <t>Maintenance capex, % of depreciation</t>
        </is>
      </c>
      <c r="C481" s="26" t="n">
        <v>0.3</v>
      </c>
      <c r="D481" s="26" t="n">
        <v>0.35</v>
      </c>
      <c r="E481" s="26" t="n">
        <v>0.4</v>
      </c>
      <c r="F481" s="26" t="n">
        <v>0.45</v>
      </c>
      <c r="G481" s="26" t="n">
        <v>0.5</v>
      </c>
    </row>
    <row r="482">
      <c r="A482" s="38" t="inlineStr">
        <is>
          <t>Committed capex floor ($m)</t>
        </is>
      </c>
      <c r="C482" s="25" t="n">
        <v>78000</v>
      </c>
      <c r="D482" s="25" t="n">
        <v>58000</v>
      </c>
      <c r="E482" s="25" t="n">
        <v>34000</v>
      </c>
      <c r="F482" s="25" t="n">
        <v>20000</v>
      </c>
      <c r="G482" s="25" t="n">
        <v>16000</v>
      </c>
    </row>
    <row r="483">
      <c r="A483" s="38" t="inlineStr">
        <is>
          <t>IaaS growth assumed in FY32 (to size FY31 capex)</t>
        </is>
      </c>
      <c r="B483" s="26" t="n">
        <v>0</v>
      </c>
    </row>
    <row r="484">
      <c r="A484" s="38" t="inlineStr">
        <is>
          <t>Capex mix: equipment</t>
        </is>
      </c>
      <c r="B484" s="26" t="n">
        <v>0.62</v>
      </c>
    </row>
    <row r="485">
      <c r="A485" s="38" t="inlineStr">
        <is>
          <t>Capex mix: buildings/shell</t>
        </is>
      </c>
      <c r="B485" s="26" t="n">
        <v>0.3</v>
      </c>
    </row>
    <row r="486">
      <c r="A486" s="38" t="inlineStr">
        <is>
          <t>Capex mix: land &amp; non-depreciating</t>
        </is>
      </c>
      <c r="B486" s="26" t="n">
        <v>0.08</v>
      </c>
    </row>
    <row r="487">
      <c r="A487" s="38" t="inlineStr">
        <is>
          <t>Equipment life (years)</t>
        </is>
      </c>
      <c r="B487" s="28" t="n">
        <v>6</v>
      </c>
    </row>
    <row r="488">
      <c r="A488" s="38" t="inlineStr">
        <is>
          <t>Buildings life (years)</t>
        </is>
      </c>
      <c r="B488" s="28" t="n">
        <v>25</v>
      </c>
    </row>
    <row r="489">
      <c r="A489" s="38" t="inlineStr">
        <is>
          <t>Construction in progress at 5/31/26 ($m)</t>
        </is>
      </c>
      <c r="B489" s="25" t="n">
        <v>39973</v>
      </c>
    </row>
    <row r="490">
      <c r="A490" s="38" t="inlineStr">
        <is>
          <t>CIP placed in service in FY27</t>
        </is>
      </c>
      <c r="B490" s="26" t="n">
        <v>0.7</v>
      </c>
    </row>
    <row r="491">
      <c r="A491" s="38" t="inlineStr">
        <is>
          <t>CIP placed in service in FY28</t>
        </is>
      </c>
      <c r="B491" s="26" t="n">
        <v>0.3</v>
      </c>
    </row>
    <row r="492">
      <c r="A492" s="38" t="inlineStr">
        <is>
          <t>Capex placed in service in year spent</t>
        </is>
      </c>
      <c r="B492" s="26" t="n">
        <v>0.4</v>
      </c>
    </row>
    <row r="493">
      <c r="A493" s="38" t="inlineStr">
        <is>
          <t>Capex placed in service in following year</t>
        </is>
      </c>
      <c r="B493" s="26" t="n">
        <v>0.6</v>
      </c>
    </row>
    <row r="494">
      <c r="A494" s="38" t="inlineStr">
        <is>
          <t>Remaining life of existing in-service base (yrs)</t>
        </is>
      </c>
      <c r="B494" s="28" t="n">
        <v>5</v>
      </c>
    </row>
    <row r="496">
      <c r="A496" s="38" t="inlineStr">
        <is>
          <t>Pre-tax cost of NEW debt</t>
        </is>
      </c>
      <c r="B496" s="29" t="n">
        <v>0.0775</v>
      </c>
    </row>
    <row r="497">
      <c r="A497" s="38" t="inlineStr">
        <is>
          <t>Blended rate on existing debt</t>
        </is>
      </c>
      <c r="B497" s="29" t="n">
        <v>0.043</v>
      </c>
    </row>
    <row r="498">
      <c r="A498" s="38" t="inlineStr">
        <is>
          <t>Interest income rate on cash</t>
        </is>
      </c>
      <c r="B498" s="29" t="n">
        <v>0.035</v>
      </c>
    </row>
    <row r="499">
      <c r="A499" s="38" t="inlineStr">
        <is>
          <t>Equity issuance ($m)</t>
        </is>
      </c>
      <c r="C499" s="25" t="n">
        <v>20000</v>
      </c>
      <c r="D499" s="25" t="n">
        <v>15000</v>
      </c>
      <c r="E499" s="25" t="n">
        <v>10000</v>
      </c>
      <c r="F499" s="25" t="n">
        <v>0</v>
      </c>
      <c r="G499" s="25" t="n">
        <v>0</v>
      </c>
    </row>
    <row r="500">
      <c r="A500" s="38" t="inlineStr">
        <is>
          <t>Assumed issue price ($)</t>
        </is>
      </c>
      <c r="C500" s="30" t="n">
        <v>120</v>
      </c>
      <c r="D500" s="30" t="n">
        <v>100</v>
      </c>
      <c r="E500" s="30" t="n">
        <v>95</v>
      </c>
      <c r="F500" s="30" t="n">
        <v>0</v>
      </c>
      <c r="G500" s="30" t="n">
        <v>0</v>
      </c>
    </row>
    <row r="501">
      <c r="A501" s="38" t="inlineStr">
        <is>
          <t>GAAP effective tax rate</t>
        </is>
      </c>
      <c r="C501" s="26" t="n">
        <v>0.185</v>
      </c>
      <c r="D501" s="26" t="n">
        <v>0.195</v>
      </c>
      <c r="E501" s="26" t="n">
        <v>0.2</v>
      </c>
      <c r="F501" s="26" t="n">
        <v>0.205</v>
      </c>
      <c r="G501" s="26" t="n">
        <v>0.205</v>
      </c>
    </row>
    <row r="502">
      <c r="A502" s="38" t="inlineStr">
        <is>
          <t>Non-GAAP tax rate</t>
        </is>
      </c>
      <c r="C502" s="26" t="n">
        <v>0.2</v>
      </c>
      <c r="D502" s="26" t="n">
        <v>0.2</v>
      </c>
      <c r="E502" s="26" t="n">
        <v>0.2</v>
      </c>
      <c r="F502" s="26" t="n">
        <v>0.2</v>
      </c>
      <c r="G502" s="26" t="n">
        <v>0.2</v>
      </c>
    </row>
    <row r="503">
      <c r="A503" s="38" t="inlineStr">
        <is>
          <t>Common dividend per share ($)</t>
        </is>
      </c>
      <c r="C503" s="30" t="n">
        <v>2</v>
      </c>
      <c r="D503" s="30" t="n">
        <v>2</v>
      </c>
      <c r="E503" s="30" t="n">
        <v>2.04</v>
      </c>
      <c r="F503" s="30" t="n">
        <v>2.12</v>
      </c>
      <c r="G503" s="30" t="n">
        <v>2.2</v>
      </c>
    </row>
    <row r="504">
      <c r="A504" s="38" t="inlineStr">
        <is>
          <t>Annual net dilution from stock awards</t>
        </is>
      </c>
      <c r="B504" s="26" t="n">
        <v>0.01</v>
      </c>
    </row>
    <row r="505">
      <c r="A505" s="38" t="inlineStr">
        <is>
          <t>Shares on mandatory conversion (m)</t>
        </is>
      </c>
      <c r="B505" s="28" t="n">
        <v>31.238285</v>
      </c>
    </row>
    <row r="506">
      <c r="A506" s="38" t="inlineStr">
        <is>
          <t>Preferred dividend, annual ($m)</t>
        </is>
      </c>
      <c r="B506" s="25" t="n">
        <v>325</v>
      </c>
    </row>
    <row r="507">
      <c r="A507" s="38" t="inlineStr">
        <is>
          <t>Customer prepayments in OCF ($m)</t>
        </is>
      </c>
      <c r="C507" s="25" t="n">
        <v>6000</v>
      </c>
      <c r="D507" s="25" t="n">
        <v>4000</v>
      </c>
      <c r="E507" s="25" t="n">
        <v>2000</v>
      </c>
      <c r="F507" s="25" t="n">
        <v>1000</v>
      </c>
      <c r="G507" s="25" t="n">
        <v>1000</v>
      </c>
    </row>
    <row r="508">
      <c r="A508" s="38" t="inlineStr">
        <is>
          <t>Short-term financing re capex ($m)</t>
        </is>
      </c>
      <c r="C508" s="25" t="n">
        <v>4000</v>
      </c>
      <c r="D508" s="25" t="n">
        <v>3000</v>
      </c>
      <c r="E508" s="25" t="n">
        <v>2000</v>
      </c>
      <c r="F508" s="25" t="n">
        <v>1500</v>
      </c>
      <c r="G508" s="25" t="n">
        <v>1500</v>
      </c>
    </row>
    <row r="509">
      <c r="A509" s="38" t="inlineStr">
        <is>
          <t>Incremental NWC, % of revenue change</t>
        </is>
      </c>
      <c r="B509" s="26" t="n">
        <v>0.02</v>
      </c>
    </row>
    <row r="510">
      <c r="A510" s="38" t="inlineStr">
        <is>
          <t>Total debt at 5/31/26 ($m)</t>
        </is>
      </c>
      <c r="B510" s="25" t="n">
        <v>129541</v>
      </c>
    </row>
    <row r="511">
      <c r="A511" s="38" t="inlineStr">
        <is>
          <t>Cash + marketable securities at 5/31/26 ($m)</t>
        </is>
      </c>
      <c r="B511" s="25" t="n">
        <v>31894</v>
      </c>
    </row>
    <row r="512">
      <c r="A512" s="38" t="inlineStr">
        <is>
          <t>Scheduled debt maturities ($m)</t>
        </is>
      </c>
      <c r="C512" s="25" t="n">
        <v>7210</v>
      </c>
      <c r="D512" s="25" t="n">
        <v>10145</v>
      </c>
      <c r="E512" s="25" t="n">
        <v>5500</v>
      </c>
      <c r="F512" s="25" t="n">
        <v>7250</v>
      </c>
      <c r="G512" s="25" t="n">
        <v>9750</v>
      </c>
    </row>
    <row r="514">
      <c r="A514" s="38" t="inlineStr">
        <is>
          <t>WACC</t>
        </is>
      </c>
      <c r="B514" s="29" t="n">
        <v>0.1109</v>
      </c>
    </row>
    <row r="515">
      <c r="A515" s="38" t="inlineStr">
        <is>
          <t>DCF terminal growth</t>
        </is>
      </c>
      <c r="B515" s="26" t="n">
        <v>0.02</v>
      </c>
    </row>
    <row r="996">
      <c r="A996" s="38" t="inlineStr">
        <is>
          <t>Base</t>
        </is>
      </c>
    </row>
    <row r="997">
      <c r="A997" s="38" t="inlineStr">
        <is>
          <t>Bull</t>
        </is>
      </c>
    </row>
    <row r="998">
      <c r="A998" s="38" t="inlineStr">
        <is>
          <t>Bear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
  <sheetViews>
    <sheetView showGridLines="0"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78" customWidth="1" min="10" max="10"/>
  </cols>
  <sheetData>
    <row r="1">
      <c r="A1" s="1" t="inlineStr">
        <is>
          <t>HISTORICALS — FY2024 / FY2025 / FY2026 actuals</t>
        </is>
      </c>
    </row>
    <row r="2">
      <c r="A2" s="38" t="inlineStr">
        <is>
          <t>Every line ties to the FY2026 Form 10-K (acc 0001193125-26-277521) or the Q4 FY26 press release (Ex-99.1 to the 8-K of 2026-06-10).</t>
        </is>
      </c>
    </row>
    <row r="4">
      <c r="A4" s="8" t="inlineStr">
        <is>
          <t>$ millions</t>
        </is>
      </c>
      <c r="B4" s="9" t="inlineStr">
        <is>
          <t>FY2024A</t>
        </is>
      </c>
      <c r="C4" s="9" t="inlineStr">
        <is>
          <t>FY2025A</t>
        </is>
      </c>
      <c r="D4" s="9" t="inlineStr">
        <is>
          <t>FY2026A</t>
        </is>
      </c>
      <c r="E4" s="9" t="inlineStr"/>
      <c r="F4" s="9" t="inlineStr"/>
      <c r="G4" s="9" t="inlineStr"/>
      <c r="H4" s="9" t="inlineStr"/>
      <c r="I4" s="9" t="inlineStr"/>
      <c r="J4" s="9" t="inlineStr">
        <is>
          <t>Source</t>
        </is>
      </c>
    </row>
    <row r="5">
      <c r="A5" s="2" t="inlineStr">
        <is>
          <t>Cloud revenue</t>
        </is>
      </c>
      <c r="B5" s="31" t="n">
        <v>19774</v>
      </c>
      <c r="C5" s="31" t="n">
        <v>24506</v>
      </c>
      <c r="D5" s="31" t="n">
        <v>33989</v>
      </c>
      <c r="J5" s="13" t="inlineStr">
        <is>
          <t>10-K Consolidated Statements of Operations (R4)</t>
        </is>
      </c>
    </row>
    <row r="6">
      <c r="A6" s="2" t="inlineStr">
        <is>
          <t xml:space="preserve">  Cloud infrastructure (IaaS)</t>
        </is>
      </c>
      <c r="B6" s="31" t="n">
        <v>6840</v>
      </c>
      <c r="C6" s="31" t="n">
        <v>10234</v>
      </c>
      <c r="D6" s="31" t="n">
        <v>18101</v>
      </c>
      <c r="J6" s="13" t="inlineStr">
        <is>
          <t>10-K Note 14, revenue by offering (R89)</t>
        </is>
      </c>
    </row>
    <row r="7">
      <c r="A7" s="2" t="inlineStr">
        <is>
          <t xml:space="preserve">  Cloud applications (SaaS)</t>
        </is>
      </c>
      <c r="B7" s="31" t="n">
        <v>12934</v>
      </c>
      <c r="C7" s="31" t="n">
        <v>14272</v>
      </c>
      <c r="D7" s="31" t="n">
        <v>15888</v>
      </c>
      <c r="J7" s="13" t="inlineStr">
        <is>
          <t>10-K Note 14 (R89)</t>
        </is>
      </c>
    </row>
    <row r="8">
      <c r="A8" s="2" t="inlineStr">
        <is>
          <t>Software revenue</t>
        </is>
      </c>
      <c r="B8" s="31" t="n">
        <v>24690</v>
      </c>
      <c r="C8" s="31" t="n">
        <v>24724</v>
      </c>
      <c r="D8" s="31" t="n">
        <v>24541</v>
      </c>
      <c r="J8" s="13" t="inlineStr">
        <is>
          <t>10-K R4</t>
        </is>
      </c>
    </row>
    <row r="9">
      <c r="A9" s="2" t="inlineStr">
        <is>
          <t xml:space="preserve">  Software licence</t>
        </is>
      </c>
      <c r="B9" s="31" t="n">
        <v>5081</v>
      </c>
      <c r="C9" s="31" t="n">
        <v>5201</v>
      </c>
      <c r="D9" s="31" t="n">
        <v>4737</v>
      </c>
      <c r="J9" s="13" t="inlineStr">
        <is>
          <t>10-K Note 14 (R89)</t>
        </is>
      </c>
    </row>
    <row r="10">
      <c r="A10" s="2" t="inlineStr">
        <is>
          <t xml:space="preserve">  Software support</t>
        </is>
      </c>
      <c r="B10" s="31" t="n">
        <v>19609</v>
      </c>
      <c r="C10" s="31" t="n">
        <v>19523</v>
      </c>
      <c r="D10" s="31" t="n">
        <v>19804</v>
      </c>
      <c r="J10" s="13" t="inlineStr">
        <is>
          <t>10-K Note 14 (R89)</t>
        </is>
      </c>
    </row>
    <row r="11">
      <c r="A11" s="2" t="inlineStr">
        <is>
          <t>Hardware revenue</t>
        </is>
      </c>
      <c r="B11" s="31" t="n">
        <v>3066</v>
      </c>
      <c r="C11" s="31" t="n">
        <v>2936</v>
      </c>
      <c r="D11" s="31" t="n">
        <v>3084</v>
      </c>
      <c r="J11" s="13" t="inlineStr">
        <is>
          <t>10-K R4</t>
        </is>
      </c>
    </row>
    <row r="12">
      <c r="A12" s="2" t="inlineStr">
        <is>
          <t>Services revenue</t>
        </is>
      </c>
      <c r="B12" s="31" t="n">
        <v>5431</v>
      </c>
      <c r="C12" s="31" t="n">
        <v>5233</v>
      </c>
      <c r="D12" s="31" t="n">
        <v>5743</v>
      </c>
      <c r="J12" s="13" t="inlineStr">
        <is>
          <t>10-K R4</t>
        </is>
      </c>
    </row>
    <row r="13">
      <c r="A13" s="6" t="inlineStr">
        <is>
          <t>TOTAL REVENUE</t>
        </is>
      </c>
      <c r="B13" s="31" t="n">
        <v>52961</v>
      </c>
      <c r="C13" s="31" t="n">
        <v>57399</v>
      </c>
      <c r="D13" s="31" t="n">
        <v>67357</v>
      </c>
      <c r="J13" s="13" t="inlineStr">
        <is>
          <t>10-K R4</t>
        </is>
      </c>
    </row>
    <row r="14">
      <c r="A14" s="2" t="inlineStr">
        <is>
          <t>Cost of cloud &amp; software (ex intangible amort.)</t>
        </is>
      </c>
      <c r="B14" s="31" t="n">
        <v>9427</v>
      </c>
      <c r="C14" s="31" t="n">
        <v>11569</v>
      </c>
      <c r="D14" s="31" t="n">
        <v>17597</v>
      </c>
      <c r="J14" s="13" t="inlineStr">
        <is>
          <t>10-K R4</t>
        </is>
      </c>
    </row>
    <row r="15">
      <c r="A15" s="2" t="inlineStr">
        <is>
          <t>Cost of hardware</t>
        </is>
      </c>
      <c r="B15" s="31" t="n">
        <v>891</v>
      </c>
      <c r="C15" s="31" t="n">
        <v>782</v>
      </c>
      <c r="D15" s="31" t="n">
        <v>868</v>
      </c>
      <c r="J15" s="13" t="inlineStr">
        <is>
          <t>10-K R4</t>
        </is>
      </c>
    </row>
    <row r="16">
      <c r="A16" s="2" t="inlineStr">
        <is>
          <t>Cost of services</t>
        </is>
      </c>
      <c r="B16" s="31" t="n">
        <v>4825</v>
      </c>
      <c r="C16" s="31" t="n">
        <v>4576</v>
      </c>
      <c r="D16" s="31" t="n">
        <v>4556</v>
      </c>
      <c r="J16" s="13" t="inlineStr">
        <is>
          <t>10-K R4</t>
        </is>
      </c>
    </row>
    <row r="17">
      <c r="A17" s="2" t="inlineStr">
        <is>
          <t>Sales &amp; marketing</t>
        </is>
      </c>
      <c r="B17" s="31" t="n">
        <v>8274</v>
      </c>
      <c r="C17" s="31" t="n">
        <v>8651</v>
      </c>
      <c r="D17" s="31" t="n">
        <v>8331</v>
      </c>
      <c r="J17" s="13" t="inlineStr">
        <is>
          <t>10-K R4</t>
        </is>
      </c>
    </row>
    <row r="18">
      <c r="A18" s="2" t="inlineStr">
        <is>
          <t>Research &amp; development</t>
        </is>
      </c>
      <c r="B18" s="31" t="n">
        <v>8915</v>
      </c>
      <c r="C18" s="31" t="n">
        <v>9860</v>
      </c>
      <c r="D18" s="31" t="n">
        <v>10272</v>
      </c>
      <c r="J18" s="13" t="inlineStr">
        <is>
          <t>10-K R4</t>
        </is>
      </c>
    </row>
    <row r="19">
      <c r="A19" s="2" t="inlineStr">
        <is>
          <t>General &amp; administrative</t>
        </is>
      </c>
      <c r="B19" s="31" t="n">
        <v>1548</v>
      </c>
      <c r="C19" s="31" t="n">
        <v>1602</v>
      </c>
      <c r="D19" s="31" t="n">
        <v>1618</v>
      </c>
      <c r="J19" s="13" t="inlineStr">
        <is>
          <t>10-K R4</t>
        </is>
      </c>
    </row>
    <row r="20">
      <c r="A20" s="2" t="inlineStr">
        <is>
          <t>Amortisation of intangible assets</t>
        </is>
      </c>
      <c r="B20" s="31" t="n">
        <v>3010</v>
      </c>
      <c r="C20" s="31" t="n">
        <v>2307</v>
      </c>
      <c r="D20" s="31" t="n">
        <v>1671</v>
      </c>
      <c r="J20" s="13" t="inlineStr">
        <is>
          <t>10-K R4</t>
        </is>
      </c>
    </row>
    <row r="21">
      <c r="A21" s="2" t="inlineStr">
        <is>
          <t>Restructuring &amp; other</t>
        </is>
      </c>
      <c r="B21" s="31" t="n">
        <v>718</v>
      </c>
      <c r="C21" s="31" t="n">
        <v>374</v>
      </c>
      <c r="D21" s="31" t="n">
        <v>1838</v>
      </c>
      <c r="J21" s="13" t="inlineStr">
        <is>
          <t>10-K R4 / Note 8 (R59)</t>
        </is>
      </c>
    </row>
    <row r="22">
      <c r="A22" s="6" t="inlineStr">
        <is>
          <t>GAAP OPERATING INCOME</t>
        </is>
      </c>
      <c r="B22" s="31" t="n">
        <v>15353</v>
      </c>
      <c r="C22" s="31" t="n">
        <v>17678</v>
      </c>
      <c r="D22" s="31" t="n">
        <v>20606</v>
      </c>
      <c r="J22" s="13" t="inlineStr">
        <is>
          <t>10-K R4</t>
        </is>
      </c>
    </row>
    <row r="23">
      <c r="A23" s="2" t="inlineStr">
        <is>
          <t>Interest expense</t>
        </is>
      </c>
      <c r="B23" s="31" t="n">
        <v>3514</v>
      </c>
      <c r="C23" s="31" t="n">
        <v>3578</v>
      </c>
      <c r="D23" s="31" t="n">
        <v>4599</v>
      </c>
      <c r="J23" s="13" t="inlineStr">
        <is>
          <t>10-K R4</t>
        </is>
      </c>
    </row>
    <row r="24">
      <c r="A24" s="2" t="inlineStr">
        <is>
          <t>Non-operating income, net</t>
        </is>
      </c>
      <c r="B24" s="31" t="n">
        <v>-98</v>
      </c>
      <c r="C24" s="31" t="n">
        <v>60</v>
      </c>
      <c r="D24" s="31" t="n">
        <v>3547</v>
      </c>
      <c r="J24" s="13" t="inlineStr">
        <is>
          <t>10-K R4. FY26 includes +$2,811m of investment gains (Ampere sale, Bloom warrants).</t>
        </is>
      </c>
    </row>
    <row r="25">
      <c r="A25" s="2" t="inlineStr">
        <is>
          <t>Income before income taxes</t>
        </is>
      </c>
      <c r="B25" s="31" t="n">
        <v>11741</v>
      </c>
      <c r="C25" s="31" t="n">
        <v>14160</v>
      </c>
      <c r="D25" s="31" t="n">
        <v>19554</v>
      </c>
      <c r="J25" s="13" t="inlineStr">
        <is>
          <t>10-K R4</t>
        </is>
      </c>
    </row>
    <row r="26">
      <c r="A26" s="2" t="inlineStr">
        <is>
          <t>Provision for income taxes</t>
        </is>
      </c>
      <c r="B26" s="31" t="n">
        <v>1274</v>
      </c>
      <c r="C26" s="31" t="n">
        <v>1717</v>
      </c>
      <c r="D26" s="31" t="n">
        <v>2467</v>
      </c>
      <c r="J26" s="13" t="inlineStr">
        <is>
          <t>10-K R4. Effective rate 12.6% (R80).</t>
        </is>
      </c>
    </row>
    <row r="27">
      <c r="A27" s="6" t="inlineStr">
        <is>
          <t>NET INCOME</t>
        </is>
      </c>
      <c r="B27" s="31" t="n">
        <v>10467</v>
      </c>
      <c r="C27" s="31" t="n">
        <v>12443</v>
      </c>
      <c r="D27" s="31" t="n">
        <v>17087</v>
      </c>
      <c r="J27" s="13" t="inlineStr">
        <is>
          <t>10-K R4</t>
        </is>
      </c>
    </row>
    <row r="28">
      <c r="A28" s="2" t="inlineStr">
        <is>
          <t>Preferred stock dividends</t>
        </is>
      </c>
      <c r="B28" s="31" t="n">
        <v>0</v>
      </c>
      <c r="C28" s="31" t="n">
        <v>0</v>
      </c>
      <c r="D28" s="31" t="n">
        <v>103</v>
      </c>
      <c r="J28" s="13" t="inlineStr">
        <is>
          <t>10-K R4. 6.50% Series D, issued Feb 2026.</t>
        </is>
      </c>
    </row>
    <row r="29">
      <c r="A29" s="2" t="inlineStr">
        <is>
          <t>Net income available to common</t>
        </is>
      </c>
      <c r="B29" s="31" t="n">
        <v>10467</v>
      </c>
      <c r="C29" s="31" t="n">
        <v>12443</v>
      </c>
      <c r="D29" s="31" t="n">
        <v>16984</v>
      </c>
      <c r="J29" s="13" t="inlineStr">
        <is>
          <t>10-K R4</t>
        </is>
      </c>
    </row>
    <row r="30">
      <c r="A30" s="2" t="inlineStr">
        <is>
          <t>Diluted EPS ($)</t>
        </is>
      </c>
      <c r="B30" s="30" t="n">
        <v>3.71</v>
      </c>
      <c r="C30" s="30" t="n">
        <v>4.34</v>
      </c>
      <c r="D30" s="30" t="n">
        <v>5.83</v>
      </c>
      <c r="J30" s="13" t="inlineStr">
        <is>
          <t>10-K R4 / EPS note (R91)</t>
        </is>
      </c>
    </row>
    <row r="31">
      <c r="A31" s="2" t="inlineStr">
        <is>
          <t>Diluted weighted-average shares (m)</t>
        </is>
      </c>
      <c r="B31" s="25" t="n">
        <v>2823</v>
      </c>
      <c r="C31" s="25" t="n">
        <v>2866</v>
      </c>
      <c r="D31" s="25" t="n">
        <v>2914</v>
      </c>
      <c r="J31" s="13" t="inlineStr">
        <is>
          <t>10-K EPS note (R91). USE THIS, not the cover-page count.</t>
        </is>
      </c>
    </row>
    <row r="32">
      <c r="A32" s="2" t="inlineStr">
        <is>
          <t>Operating cash flow</t>
        </is>
      </c>
      <c r="B32" s="31" t="n">
        <v>18673</v>
      </c>
      <c r="C32" s="31" t="n">
        <v>20821</v>
      </c>
      <c r="D32" s="31" t="n">
        <v>31977</v>
      </c>
      <c r="J32" s="13" t="inlineStr">
        <is>
          <t>10-K Statements of Cash Flows (R8)</t>
        </is>
      </c>
    </row>
    <row r="33">
      <c r="A33" s="2" t="inlineStr">
        <is>
          <t>Depreciation</t>
        </is>
      </c>
      <c r="B33" s="31" t="n">
        <v>3129</v>
      </c>
      <c r="C33" s="31" t="n">
        <v>3867</v>
      </c>
      <c r="D33" s="31" t="n">
        <v>7623</v>
      </c>
      <c r="J33" s="13" t="inlineStr">
        <is>
          <t>10-K R8 / PP&amp;E note (R51)</t>
        </is>
      </c>
    </row>
    <row r="34">
      <c r="A34" s="2" t="inlineStr">
        <is>
          <t>Stock-based compensation</t>
        </is>
      </c>
      <c r="B34" s="31" t="n">
        <v>3974</v>
      </c>
      <c r="C34" s="31" t="n">
        <v>4674</v>
      </c>
      <c r="D34" s="31" t="n">
        <v>4811</v>
      </c>
      <c r="J34" s="13" t="inlineStr">
        <is>
          <t>10-K R8</t>
        </is>
      </c>
    </row>
    <row r="35">
      <c r="A35" s="2" t="inlineStr">
        <is>
          <t>Capital expenditures</t>
        </is>
      </c>
      <c r="B35" s="31" t="n">
        <v>6866</v>
      </c>
      <c r="C35" s="31" t="n">
        <v>21215</v>
      </c>
      <c r="D35" s="31" t="n">
        <v>55663</v>
      </c>
      <c r="J35" s="13" t="inlineStr">
        <is>
          <t>10-K R8</t>
        </is>
      </c>
    </row>
    <row r="36">
      <c r="A36" s="2" t="inlineStr">
        <is>
          <t>Dividends paid</t>
        </is>
      </c>
      <c r="B36" s="31" t="n">
        <v>4391</v>
      </c>
      <c r="C36" s="31" t="n">
        <v>4743</v>
      </c>
      <c r="D36" s="31" t="n">
        <v>5787</v>
      </c>
      <c r="J36" s="13" t="inlineStr">
        <is>
          <t>10-K R8</t>
        </is>
      </c>
    </row>
    <row r="37">
      <c r="A37" s="2" t="inlineStr">
        <is>
          <t>Share repurchases</t>
        </is>
      </c>
      <c r="B37" s="31" t="n">
        <v>1202</v>
      </c>
      <c r="C37" s="31" t="n">
        <v>600</v>
      </c>
      <c r="D37" s="31" t="n">
        <v>95</v>
      </c>
      <c r="J37" s="13" t="inlineStr">
        <is>
          <t>10-K R8. $95m in FY26 vs $1,202m FY24 — buybacks have effectively stopped.</t>
        </is>
      </c>
    </row>
    <row r="38">
      <c r="A38" s="6" t="inlineStr">
        <is>
          <t>GROSS PROFIT (derived)</t>
        </is>
      </c>
      <c r="B38" s="32">
        <f>B13-B14-B15-B16</f>
        <v/>
      </c>
      <c r="C38" s="32">
        <f>C13-C14-C15-C16</f>
        <v/>
      </c>
      <c r="D38" s="32">
        <f>D13-D14-D15-D16</f>
        <v/>
      </c>
      <c r="J38" s="13" t="inlineStr">
        <is>
          <t>Revenue less the three cost-of-revenue lines. Excludes intangible amortisation, per Oracle presentation.</t>
        </is>
      </c>
    </row>
    <row r="39">
      <c r="A39" s="6" t="inlineStr">
        <is>
          <t>Gross margin %</t>
        </is>
      </c>
      <c r="B39" s="14">
        <f>B38/B13</f>
        <v/>
      </c>
      <c r="C39" s="14">
        <f>C38/C13</f>
        <v/>
      </c>
      <c r="D39" s="14">
        <f>D38/D13</f>
        <v/>
      </c>
      <c r="J39" s="13" t="inlineStr">
        <is>
          <t>FY22 79.08% -&gt; FY23 72.85% -&gt; FY24 71.41% -&gt; FY25 70.51% -&gt; FY26 65.82%. Five straight years of compression.</t>
        </is>
      </c>
    </row>
    <row r="41">
      <c r="A41" s="10" t="inlineStr">
        <is>
          <t>DERIVED — IaaS gross margin (ANALYST ESTIMATE: Oracle does not disclose cost of revenue by offering)</t>
        </is>
      </c>
      <c r="B41" s="11" t="n"/>
      <c r="C41" s="11" t="n"/>
      <c r="D41" s="11" t="n"/>
      <c r="E41" s="11" t="n"/>
      <c r="F41" s="11" t="n"/>
      <c r="G41" s="11" t="n"/>
      <c r="H41" s="11" t="n"/>
    </row>
    <row r="42">
      <c r="A42" s="2" t="inlineStr">
        <is>
          <t>Assumed software support gross margin</t>
        </is>
      </c>
      <c r="D42" s="33" t="n">
        <v>0.93</v>
      </c>
      <c r="J42" s="38" t="inlineStr">
        <is>
          <t>Analyst estimate. Changes the derived IaaS margin one-for-one.</t>
        </is>
      </c>
    </row>
    <row r="43">
      <c r="A43" s="2" t="inlineStr">
        <is>
          <t>Assumed software licence gross margin</t>
        </is>
      </c>
      <c r="D43" s="33" t="n">
        <v>0.98</v>
      </c>
      <c r="J43" s="38" t="inlineStr">
        <is>
          <t>Analyst estimate. Changes the derived IaaS margin one-for-one.</t>
        </is>
      </c>
    </row>
    <row r="44">
      <c r="A44" s="2" t="inlineStr">
        <is>
          <t>Assumed SaaS gross margin</t>
        </is>
      </c>
      <c r="D44" s="33" t="n">
        <v>0.78</v>
      </c>
      <c r="J44" s="38" t="inlineStr">
        <is>
          <t>Analyst estimate. Changes the derived IaaS margin one-for-one.</t>
        </is>
      </c>
    </row>
    <row r="45">
      <c r="A45" s="2" t="inlineStr">
        <is>
          <t>Implied software cost of revenue</t>
        </is>
      </c>
      <c r="B45" s="32">
        <f>B10*(1-$D$42)+B9*(1-$D$43)</f>
        <v/>
      </c>
      <c r="C45" s="32">
        <f>C10*(1-$D$42)+C9*(1-$D$43)</f>
        <v/>
      </c>
      <c r="D45" s="32">
        <f>D10*(1-$D$42)+D9*(1-$D$43)</f>
        <v/>
      </c>
    </row>
    <row r="46">
      <c r="A46" s="2" t="inlineStr">
        <is>
          <t>Implied cloud cost of revenue</t>
        </is>
      </c>
      <c r="B46" s="32">
        <f>B14-B45</f>
        <v/>
      </c>
      <c r="C46" s="32">
        <f>C14-C45</f>
        <v/>
      </c>
      <c r="D46" s="32">
        <f>D14-D45</f>
        <v/>
      </c>
    </row>
    <row r="47">
      <c r="A47" s="2" t="inlineStr">
        <is>
          <t>Implied IaaS cost of revenue</t>
        </is>
      </c>
      <c r="B47" s="32">
        <f>B46-B7*(1-$D$44)</f>
        <v/>
      </c>
      <c r="C47" s="32">
        <f>C46-C7*(1-$D$44)</f>
        <v/>
      </c>
      <c r="D47" s="32">
        <f>D46-D7*(1-$D$44)</f>
        <v/>
      </c>
    </row>
    <row r="48">
      <c r="A48" s="6" t="inlineStr">
        <is>
          <t>DERIVED IaaS GROSS MARGIN</t>
        </is>
      </c>
      <c r="B48" s="15">
        <f>1-B47/B6</f>
        <v/>
      </c>
      <c r="C48" s="15">
        <f>1-C47/C6</f>
        <v/>
      </c>
      <c r="D48" s="15">
        <f>1-D47/D6</f>
        <v/>
      </c>
      <c r="J48" s="38" t="inlineStr">
        <is>
          <t>~30% in FY26A. This single number, and the asset turn, decide whether the buildout creates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3"/>
  <sheetViews>
    <sheetView showGridLines="0"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78" customWidth="1" min="10" max="10"/>
  </cols>
  <sheetData>
    <row r="1">
      <c r="A1" s="1" t="inlineStr">
        <is>
          <t>RPO CONVERSION SCHEDULE — the disclosed 12 / 34 / 34 / 20 waterfall</t>
        </is>
      </c>
    </row>
    <row r="2">
      <c r="A2" s="38" t="inlineStr">
        <is>
          <t>Oracle discloses the entire five-year conversion profile of the $638bn backlog in Note 1 of the FY26 10-K. Revenue through FY2031 is therefore largely a DISCLOSED SCHEDULE, not a forecast.</t>
        </is>
      </c>
    </row>
    <row r="4">
      <c r="A4" s="8" t="inlineStr">
        <is>
          <t>$ millions</t>
        </is>
      </c>
      <c r="B4" s="9" t="inlineStr"/>
      <c r="C4" s="9" t="inlineStr">
        <is>
          <t>FY2027E</t>
        </is>
      </c>
      <c r="D4" s="9" t="inlineStr">
        <is>
          <t>FY2028E</t>
        </is>
      </c>
      <c r="E4" s="9" t="inlineStr">
        <is>
          <t>FY2029E</t>
        </is>
      </c>
      <c r="F4" s="9" t="inlineStr">
        <is>
          <t>FY2030E</t>
        </is>
      </c>
      <c r="G4" s="9" t="inlineStr">
        <is>
          <t>FY2031E</t>
        </is>
      </c>
      <c r="H4" s="9" t="inlineStr"/>
      <c r="I4" s="9" t="inlineStr"/>
      <c r="J4" s="9" t="inlineStr">
        <is>
          <t>Note</t>
        </is>
      </c>
    </row>
    <row r="6">
      <c r="A6" s="10" t="inlineStr">
        <is>
          <t>DISCLOSED BACKLOG AND CONVERSION PROFILE (10-K Note 1, verbatim)</t>
        </is>
      </c>
      <c r="B6" s="11" t="n"/>
      <c r="C6" s="11" t="n"/>
      <c r="D6" s="11" t="n"/>
      <c r="E6" s="11" t="n"/>
      <c r="F6" s="11" t="n"/>
      <c r="G6" s="11" t="n"/>
      <c r="H6" s="11" t="n"/>
    </row>
    <row r="7">
      <c r="A7" s="2" t="inlineStr">
        <is>
          <t>Remaining performance obligations at 5/31/2026</t>
        </is>
      </c>
      <c r="B7" s="34">
        <f>Inputs!$B$9</f>
        <v/>
      </c>
      <c r="J7" s="13" t="inlineStr">
        <is>
          <t>DISCLOSED. Up 363% from $137.8bn.</t>
        </is>
      </c>
    </row>
    <row r="8">
      <c r="A8" s="2" t="inlineStr">
        <is>
          <t xml:space="preserve">  expected in the next 12 months (12%)</t>
        </is>
      </c>
      <c r="B8" s="32">
        <f>Inputs!$B$9*Inputs!$B$10</f>
        <v/>
      </c>
    </row>
    <row r="9">
      <c r="A9" s="2" t="inlineStr">
        <is>
          <t xml:space="preserve">  expected in months 13–36 (34%)</t>
        </is>
      </c>
      <c r="B9" s="32">
        <f>Inputs!$B$9*Inputs!$B$11</f>
        <v/>
      </c>
    </row>
    <row r="10">
      <c r="A10" s="2" t="inlineStr">
        <is>
          <t xml:space="preserve">  expected in months 37–60 (34%)</t>
        </is>
      </c>
      <c r="B10" s="32">
        <f>Inputs!$B$9*Inputs!$B$12</f>
        <v/>
      </c>
    </row>
    <row r="11">
      <c r="A11" s="2" t="inlineStr">
        <is>
          <t xml:space="preserve">  thereafter (20%)</t>
        </is>
      </c>
      <c r="B11" s="32">
        <f>Inputs!$B$9*Inputs!$B$13</f>
        <v/>
      </c>
    </row>
    <row r="13">
      <c r="A13" s="10" t="inlineStr">
        <is>
          <t>DECOMPOSITION — legacy backlog vs the FY26 AI step-change (ANALYST CONSTRUCT)</t>
        </is>
      </c>
      <c r="B13" s="11" t="n"/>
      <c r="C13" s="11" t="n"/>
      <c r="D13" s="11" t="n"/>
      <c r="E13" s="11" t="n"/>
      <c r="F13" s="11" t="n"/>
      <c r="G13" s="11" t="n"/>
      <c r="H13" s="11" t="n"/>
    </row>
    <row r="14">
      <c r="A14" s="2" t="inlineStr">
        <is>
          <t>"Legacy" (pre-AI) backlog</t>
        </is>
      </c>
      <c r="B14" s="34">
        <f>Inputs!$B$14</f>
        <v/>
      </c>
      <c r="J14" s="13" t="inlineStr">
        <is>
          <t>≈ the 5/31/2025 RPO of $137.8bn.</t>
        </is>
      </c>
    </row>
    <row r="15">
      <c r="A15" s="2" t="inlineStr">
        <is>
          <t>AI backlog (the FY26 step-change)</t>
        </is>
      </c>
      <c r="B15" s="32">
        <f>B7-B14</f>
        <v/>
      </c>
      <c r="J15" s="13" t="inlineStr">
        <is>
          <t>RPO went $137.8bn -&gt; $455.3bn in Q1 FY26 alone. Two-thirds of the backlog was signed in ONE quarter.</t>
        </is>
      </c>
    </row>
    <row r="16">
      <c r="A16" s="2" t="inlineStr">
        <is>
          <t>Counterparty haircut applied to AI backlog</t>
        </is>
      </c>
      <c r="B16" s="35">
        <f>Inputs!$B$15</f>
        <v/>
      </c>
      <c r="J16" s="13" t="inlineStr">
        <is>
          <t>KEY LEVER.</t>
        </is>
      </c>
    </row>
    <row r="18">
      <c r="A18" s="2" t="inlineStr">
        <is>
          <t>Legacy backlog conversion %</t>
        </is>
      </c>
      <c r="C18" s="36">
        <f>Inputs!C$16</f>
        <v/>
      </c>
      <c r="D18" s="36">
        <f>Inputs!D$16</f>
        <v/>
      </c>
      <c r="E18" s="36">
        <f>Inputs!E$16</f>
        <v/>
      </c>
      <c r="F18" s="36">
        <f>Inputs!F$16</f>
        <v/>
      </c>
      <c r="G18" s="36">
        <f>Inputs!G$16</f>
        <v/>
      </c>
    </row>
    <row r="19">
      <c r="A19" s="2" t="inlineStr">
        <is>
          <t>Legacy backlog revenue</t>
        </is>
      </c>
      <c r="C19" s="32">
        <f>$B$14*C18</f>
        <v/>
      </c>
      <c r="D19" s="32">
        <f>$B$14*D18</f>
        <v/>
      </c>
      <c r="E19" s="32">
        <f>$B$14*E18</f>
        <v/>
      </c>
      <c r="F19" s="32">
        <f>$B$14*F18</f>
        <v/>
      </c>
      <c r="G19" s="32">
        <f>$B$14*G18</f>
        <v/>
      </c>
    </row>
    <row r="20">
      <c r="A20" s="2" t="inlineStr">
        <is>
          <t>AI conversion in the m0–12 bucket</t>
        </is>
      </c>
      <c r="C20" s="32">
        <f>$B$8-C19</f>
        <v/>
      </c>
      <c r="D20" s="32" t="inlineStr"/>
      <c r="E20" s="32" t="inlineStr"/>
      <c r="F20" s="32" t="inlineStr"/>
      <c r="G20" s="32" t="inlineStr"/>
    </row>
    <row r="21">
      <c r="A21" s="2" t="inlineStr">
        <is>
          <t>AI conversion in the m13–36 bucket</t>
        </is>
      </c>
      <c r="C21" s="32">
        <f>$B$9-D19-E19</f>
        <v/>
      </c>
      <c r="D21" s="32" t="inlineStr"/>
      <c r="E21" s="32" t="inlineStr"/>
      <c r="F21" s="32" t="inlineStr"/>
      <c r="G21" s="32" t="inlineStr"/>
    </row>
    <row r="22">
      <c r="A22" s="2" t="inlineStr">
        <is>
          <t>AI conversion in the m37–60 bucket</t>
        </is>
      </c>
      <c r="C22" s="32">
        <f>$B$10-F19-G19</f>
        <v/>
      </c>
      <c r="D22" s="32" t="inlineStr"/>
      <c r="E22" s="32" t="inlineStr"/>
      <c r="F22" s="32" t="inlineStr"/>
      <c r="G22" s="32" t="inlineStr"/>
    </row>
    <row r="23">
      <c r="A23" s="2" t="inlineStr">
        <is>
          <t>AI backlog revenue (after haircut)</t>
        </is>
      </c>
      <c r="C23" s="32">
        <f>C20*(1-$B$16)</f>
        <v/>
      </c>
      <c r="D23" s="32">
        <f>$C$21*Inputs!$B$17*(1-$B$16)</f>
        <v/>
      </c>
      <c r="E23" s="32">
        <f>$C$21*(1-Inputs!$B$17)*(1-$B$16)</f>
        <v/>
      </c>
      <c r="F23" s="32">
        <f>$C$22*Inputs!$B$18*(1-$B$16)</f>
        <v/>
      </c>
      <c r="G23" s="32">
        <f>$C$22*(1-Inputs!$B$18)*(1-$B$16)</f>
        <v/>
      </c>
    </row>
    <row r="24">
      <c r="A24" s="6" t="inlineStr">
        <is>
          <t>REVENUE FROM THE 5/31/26 BACKLOG</t>
        </is>
      </c>
      <c r="C24" s="32">
        <f>C19+C23</f>
        <v/>
      </c>
      <c r="D24" s="32">
        <f>D19+D23</f>
        <v/>
      </c>
      <c r="E24" s="32">
        <f>E19+E23</f>
        <v/>
      </c>
      <c r="F24" s="32">
        <f>F19+F23</f>
        <v/>
      </c>
      <c r="G24" s="32">
        <f>G19+G23</f>
        <v/>
      </c>
      <c r="J24" s="13" t="inlineStr">
        <is>
          <t>Note the shape: a step up into FY28 and then a PLATEAU. The disclosed schedule allocates the same 34% to months 13–36 and 37–60. Every dollar of growth after FY2028 must come from contracts not yet signed.</t>
        </is>
      </c>
    </row>
    <row r="26">
      <c r="A26" s="10" t="inlineStr">
        <is>
          <t>NEW BOOKINGS SIGNED AFTER 5/31/2026 (PURE ANALYST ESTIMATE — dominates FY30–31)</t>
        </is>
      </c>
      <c r="B26" s="11" t="n"/>
      <c r="C26" s="11" t="n"/>
      <c r="D26" s="11" t="n"/>
      <c r="E26" s="11" t="n"/>
      <c r="F26" s="11" t="n"/>
      <c r="G26" s="11" t="n"/>
      <c r="H26" s="11" t="n"/>
    </row>
    <row r="27">
      <c r="A27" s="2" t="inlineStr">
        <is>
          <t>New bookings</t>
        </is>
      </c>
      <c r="C27" s="37">
        <f>Inputs!C$19</f>
        <v/>
      </c>
      <c r="D27" s="37">
        <f>Inputs!D$19</f>
        <v/>
      </c>
      <c r="E27" s="37">
        <f>Inputs!E$19</f>
        <v/>
      </c>
      <c r="F27" s="37">
        <f>Inputs!F$19</f>
        <v/>
      </c>
      <c r="G27" s="37">
        <f>Inputs!G$19</f>
        <v/>
      </c>
    </row>
    <row r="28">
      <c r="A28" s="2" t="inlineStr">
        <is>
          <t>Conversion profile, year 1..5</t>
        </is>
      </c>
      <c r="C28" s="36">
        <f>Inputs!C$20</f>
        <v/>
      </c>
      <c r="D28" s="36">
        <f>Inputs!D$20</f>
        <v/>
      </c>
      <c r="E28" s="36">
        <f>Inputs!E$20</f>
        <v/>
      </c>
      <c r="F28" s="36">
        <f>Inputs!F$20</f>
        <v/>
      </c>
      <c r="G28" s="36">
        <f>Inputs!G$20</f>
        <v/>
      </c>
    </row>
    <row r="29">
      <c r="A29" s="2" t="inlineStr">
        <is>
          <t>Revenue from new bookings</t>
        </is>
      </c>
      <c r="C29" s="32">
        <f>$C$27*$C$28</f>
        <v/>
      </c>
      <c r="D29" s="32">
        <f>$C$27*$D$28+$D$27*$C$28</f>
        <v/>
      </c>
      <c r="E29" s="32">
        <f>$C$27*$E$28+$D$27*$D$28+$E$27*$C$28</f>
        <v/>
      </c>
      <c r="F29" s="32">
        <f>$C$27*$F$28+$D$27*$E$28+$E$27*$D$28+$F$27*$C$28</f>
        <v/>
      </c>
      <c r="G29" s="32">
        <f>$C$27*$G$28+$D$27*$F$28+$E$27*$E$28+$F$27*$D$28+$G$27*$C$28</f>
        <v/>
      </c>
    </row>
    <row r="30">
      <c r="A30" s="2" t="inlineStr">
        <is>
          <t>Revenue not covered by RPO</t>
        </is>
      </c>
      <c r="C30" s="32">
        <f>Inputs!$B$21*(1+Inputs!$B$22)^1</f>
        <v/>
      </c>
      <c r="D30" s="32">
        <f>Inputs!$B$21*(1+Inputs!$B$22)^2</f>
        <v/>
      </c>
      <c r="E30" s="32">
        <f>Inputs!$B$21*(1+Inputs!$B$22)^3</f>
        <v/>
      </c>
      <c r="F30" s="32">
        <f>Inputs!$B$21*(1+Inputs!$B$22)^4</f>
        <v/>
      </c>
      <c r="G30" s="32">
        <f>Inputs!$B$21*(1+Inputs!$B$22)^5</f>
        <v/>
      </c>
      <c r="J30" s="13" t="inlineStr">
        <is>
          <t>Hardware, non-committed consumption, some services and new licence.</t>
        </is>
      </c>
    </row>
    <row r="31">
      <c r="A31" s="6" t="inlineStr">
        <is>
          <t>TOTAL REVENUE</t>
        </is>
      </c>
      <c r="C31" s="32">
        <f>C24+C29+C30</f>
        <v/>
      </c>
      <c r="D31" s="32">
        <f>D24+D29+D30</f>
        <v/>
      </c>
      <c r="E31" s="32">
        <f>E24+E29+E30</f>
        <v/>
      </c>
      <c r="F31" s="32">
        <f>F24+F29+F30</f>
        <v/>
      </c>
      <c r="G31" s="32">
        <f>G24+G29+G30</f>
        <v/>
      </c>
    </row>
    <row r="32">
      <c r="A32" s="2" t="inlineStr">
        <is>
          <t xml:space="preserve">  y/y growth</t>
        </is>
      </c>
      <c r="C32" s="14">
        <f>C31/Historicals!D13-1</f>
        <v/>
      </c>
      <c r="D32" s="14">
        <f>D31/C31-1</f>
        <v/>
      </c>
      <c r="E32" s="14">
        <f>E31/D31-1</f>
        <v/>
      </c>
      <c r="F32" s="14">
        <f>F31/E31-1</f>
        <v/>
      </c>
      <c r="G32" s="14">
        <f>G31/F31-1</f>
        <v/>
      </c>
    </row>
    <row r="34">
      <c r="A34" s="10" t="inlineStr">
        <is>
          <t>SEGMENT BUILD — IaaS is the residual</t>
        </is>
      </c>
      <c r="B34" s="11" t="n"/>
      <c r="C34" s="11" t="n"/>
      <c r="D34" s="11" t="n"/>
      <c r="E34" s="11" t="n"/>
      <c r="F34" s="11" t="n"/>
      <c r="G34" s="11" t="n"/>
      <c r="H34" s="11" t="n"/>
    </row>
    <row r="35">
      <c r="A35" s="2" t="inlineStr">
        <is>
          <t>Cloud applications (SaaS)</t>
        </is>
      </c>
      <c r="C35" s="32">
        <f>Historicals!D7*(1+Inputs!C$24)</f>
        <v/>
      </c>
      <c r="D35" s="32">
        <f>C35*(1+Inputs!D$24)</f>
        <v/>
      </c>
      <c r="E35" s="32">
        <f>D35*(1+Inputs!E$24)</f>
        <v/>
      </c>
      <c r="F35" s="32">
        <f>E35*(1+Inputs!F$24)</f>
        <v/>
      </c>
      <c r="G35" s="32">
        <f>F35*(1+Inputs!G$24)</f>
        <v/>
      </c>
    </row>
    <row r="36">
      <c r="A36" s="2" t="inlineStr">
        <is>
          <t>Software licence</t>
        </is>
      </c>
      <c r="C36" s="32">
        <f>Historicals!D9*(1+Inputs!C$25)</f>
        <v/>
      </c>
      <c r="D36" s="32">
        <f>C36*(1+Inputs!D$25)</f>
        <v/>
      </c>
      <c r="E36" s="32">
        <f>D36*(1+Inputs!E$25)</f>
        <v/>
      </c>
      <c r="F36" s="32">
        <f>E36*(1+Inputs!F$25)</f>
        <v/>
      </c>
      <c r="G36" s="32">
        <f>F36*(1+Inputs!G$25)</f>
        <v/>
      </c>
    </row>
    <row r="37">
      <c r="A37" s="2" t="inlineStr">
        <is>
          <t>Software support</t>
        </is>
      </c>
      <c r="C37" s="32">
        <f>Historicals!D10*(1+Inputs!C$26)</f>
        <v/>
      </c>
      <c r="D37" s="32">
        <f>C37*(1+Inputs!D$26)</f>
        <v/>
      </c>
      <c r="E37" s="32">
        <f>D37*(1+Inputs!E$26)</f>
        <v/>
      </c>
      <c r="F37" s="32">
        <f>E37*(1+Inputs!F$26)</f>
        <v/>
      </c>
      <c r="G37" s="32">
        <f>F37*(1+Inputs!G$26)</f>
        <v/>
      </c>
    </row>
    <row r="38">
      <c r="A38" s="2" t="inlineStr">
        <is>
          <t>Services</t>
        </is>
      </c>
      <c r="C38" s="32">
        <f>Historicals!D12*(1+Inputs!C$27)</f>
        <v/>
      </c>
      <c r="D38" s="32">
        <f>C38*(1+Inputs!D$27)</f>
        <v/>
      </c>
      <c r="E38" s="32">
        <f>D38*(1+Inputs!E$27)</f>
        <v/>
      </c>
      <c r="F38" s="32">
        <f>E38*(1+Inputs!F$27)</f>
        <v/>
      </c>
      <c r="G38" s="32">
        <f>F38*(1+Inputs!G$27)</f>
        <v/>
      </c>
    </row>
    <row r="39">
      <c r="A39" s="2" t="inlineStr">
        <is>
          <t>Hardware</t>
        </is>
      </c>
      <c r="C39" s="32">
        <f>Historicals!D11*(1+Inputs!C$28)</f>
        <v/>
      </c>
      <c r="D39" s="32">
        <f>C39*(1+Inputs!D$28)</f>
        <v/>
      </c>
      <c r="E39" s="32">
        <f>D39*(1+Inputs!E$28)</f>
        <v/>
      </c>
      <c r="F39" s="32">
        <f>E39*(1+Inputs!F$28)</f>
        <v/>
      </c>
      <c r="G39" s="32">
        <f>F39*(1+Inputs!G$28)</f>
        <v/>
      </c>
    </row>
    <row r="40">
      <c r="A40" s="6" t="inlineStr">
        <is>
          <t>Cloud infrastructure (IaaS) — RESIDUAL</t>
        </is>
      </c>
      <c r="C40" s="32">
        <f>C31-C35-C36-C37-C38-C39</f>
        <v/>
      </c>
      <c r="D40" s="32">
        <f>D31-D35-D36-D37-D38-D39</f>
        <v/>
      </c>
      <c r="E40" s="32">
        <f>E31-E35-E36-E37-E38-E39</f>
        <v/>
      </c>
      <c r="F40" s="32">
        <f>F31-F35-F36-F37-F38-F39</f>
        <v/>
      </c>
      <c r="G40" s="32">
        <f>G31-G35-G36-G37-G38-G39</f>
        <v/>
      </c>
      <c r="J40" s="13" t="inlineStr">
        <is>
          <t>IaaS = total revenue less the five modelled lines. FY26A $18,101m.</t>
        </is>
      </c>
    </row>
    <row r="41">
      <c r="A41" s="2" t="inlineStr">
        <is>
          <t xml:space="preserve">  IaaS y/y growth</t>
        </is>
      </c>
      <c r="C41" s="14">
        <f>C40/Historicals!D6-1</f>
        <v/>
      </c>
      <c r="D41" s="14">
        <f>D40/C40-1</f>
        <v/>
      </c>
      <c r="E41" s="14">
        <f>E40/D40-1</f>
        <v/>
      </c>
      <c r="F41" s="14">
        <f>F40/E40-1</f>
        <v/>
      </c>
      <c r="G41" s="14">
        <f>G40/F40-1</f>
        <v/>
      </c>
    </row>
    <row r="42">
      <c r="A42" s="2" t="inlineStr">
        <is>
          <t>MEMO: revenue guidance FY2027</t>
        </is>
      </c>
      <c r="C42" s="31" t="n">
        <v>90000</v>
      </c>
      <c r="D42" s="31" t="inlineStr"/>
      <c r="E42" s="31" t="inlineStr"/>
      <c r="F42" s="31" t="inlineStr"/>
      <c r="G42" s="31" t="inlineStr"/>
      <c r="J42" s="13" t="inlineStr">
        <is>
          <t>DISCLOSED: "we confirm our prior revenue guidance of $90 billion total revenue" — press release 6/10/2026.</t>
        </is>
      </c>
    </row>
    <row r="43">
      <c r="A43" s="2" t="inlineStr">
        <is>
          <t>MEMO: consensus FY2027 revenue</t>
        </is>
      </c>
      <c r="C43" s="31" t="n">
        <v>89340</v>
      </c>
      <c r="D43" s="31" t="inlineStr"/>
      <c r="E43" s="31" t="inlineStr"/>
      <c r="F43" s="31" t="inlineStr"/>
      <c r="G43" s="31" t="inlineStr"/>
      <c r="J43" s="13" t="inlineStr">
        <is>
          <t>stockanalysis.com, 42 analysts, pulled 8/27–28/2026.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showGridLines="0"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78" customWidth="1" min="10" max="10"/>
  </cols>
  <sheetData>
    <row r="1">
      <c r="A1" s="1" t="inlineStr">
        <is>
          <t>CAPEX -&gt; CIP -&gt; IN-SERVICE -&gt; DEPRECIATION WATERFALL</t>
        </is>
      </c>
    </row>
    <row r="2">
      <c r="A2" s="38" t="inlineStr">
        <is>
          <t>Capex is LINKED to the IaaS revenue it must serve, not set as a % of revenue. 32.6% of gross PP&amp;E at 5/31/26 ($39,973m) was construction in progress and NOT YET DEPRECIATING.</t>
        </is>
      </c>
    </row>
    <row r="4">
      <c r="A4" s="8" t="inlineStr">
        <is>
          <t>$ millions</t>
        </is>
      </c>
      <c r="B4" s="9" t="inlineStr"/>
      <c r="C4" s="9" t="inlineStr">
        <is>
          <t>FY2027E</t>
        </is>
      </c>
      <c r="D4" s="9" t="inlineStr">
        <is>
          <t>FY2028E</t>
        </is>
      </c>
      <c r="E4" s="9" t="inlineStr">
        <is>
          <t>FY2029E</t>
        </is>
      </c>
      <c r="F4" s="9" t="inlineStr">
        <is>
          <t>FY2030E</t>
        </is>
      </c>
      <c r="G4" s="9" t="inlineStr">
        <is>
          <t>FY2031E</t>
        </is>
      </c>
      <c r="H4" s="9" t="inlineStr"/>
      <c r="I4" s="9" t="inlineStr"/>
      <c r="J4" s="9" t="inlineStr">
        <is>
          <t>Note</t>
        </is>
      </c>
    </row>
    <row r="6">
      <c r="A6" s="10" t="inlineStr">
        <is>
          <t>CAPACITY REQUIREMENT</t>
        </is>
      </c>
      <c r="B6" s="11" t="n"/>
      <c r="C6" s="11" t="n"/>
      <c r="D6" s="11" t="n"/>
      <c r="E6" s="11" t="n"/>
      <c r="F6" s="11" t="n"/>
      <c r="G6" s="11" t="n"/>
      <c r="H6" s="11" t="n"/>
    </row>
    <row r="7">
      <c r="A7" s="2" t="inlineStr">
        <is>
          <t>IaaS revenue</t>
        </is>
      </c>
      <c r="C7" s="34">
        <f>RPO_Schedule!C40</f>
        <v/>
      </c>
      <c r="D7" s="34">
        <f>RPO_Schedule!D40</f>
        <v/>
      </c>
      <c r="E7" s="34">
        <f>RPO_Schedule!E40</f>
        <v/>
      </c>
      <c r="F7" s="34">
        <f>RPO_Schedule!F40</f>
        <v/>
      </c>
      <c r="G7" s="34">
        <f>RPO_Schedule!G40</f>
        <v/>
      </c>
    </row>
    <row r="8">
      <c r="A8" s="2" t="inlineStr">
        <is>
          <t>IaaS revenue, following year</t>
        </is>
      </c>
      <c r="C8" s="32">
        <f>D7</f>
        <v/>
      </c>
      <c r="D8" s="32">
        <f>E7</f>
        <v/>
      </c>
      <c r="E8" s="32">
        <f>F7</f>
        <v/>
      </c>
      <c r="F8" s="32">
        <f>G7</f>
        <v/>
      </c>
      <c r="G8" s="32">
        <f>G7*(1+Inputs!$B$51)</f>
        <v/>
      </c>
      <c r="J8" s="13" t="inlineStr">
        <is>
          <t>FY32 is required to size FY31 capex.</t>
        </is>
      </c>
    </row>
    <row r="9">
      <c r="A9" s="2" t="inlineStr">
        <is>
          <t>Effective asset turn (turn x utilisation)</t>
        </is>
      </c>
      <c r="C9" s="18">
        <f>Inputs!$B$46*Inputs!C$47</f>
        <v/>
      </c>
      <c r="D9" s="18">
        <f>Inputs!$B$46*Inputs!D$47</f>
        <v/>
      </c>
      <c r="E9" s="18">
        <f>Inputs!$B$46*Inputs!E$47</f>
        <v/>
      </c>
      <c r="F9" s="18">
        <f>Inputs!$B$46*Inputs!F$47</f>
        <v/>
      </c>
      <c r="G9" s="18">
        <f>Inputs!$B$46*Inputs!G$47</f>
        <v/>
      </c>
      <c r="J9" s="13" t="inlineStr">
        <is>
          <t>KEY LEVER. IaaS revenue generated per $1 of gross PP&amp;E. Not disclosed by Oracle anywhere.</t>
        </is>
      </c>
    </row>
    <row r="10">
      <c r="A10" s="2" t="inlineStr">
        <is>
          <t>Gross capacity to add</t>
        </is>
      </c>
      <c r="C10" s="32">
        <f>MAX(0,C8-C7)/C9</f>
        <v/>
      </c>
      <c r="D10" s="32">
        <f>MAX(0,D8-D7)/D9</f>
        <v/>
      </c>
      <c r="E10" s="32">
        <f>MAX(0,E8-E7)/E9</f>
        <v/>
      </c>
      <c r="F10" s="32">
        <f>MAX(0,F8-F7)/F9</f>
        <v/>
      </c>
      <c r="G10" s="32">
        <f>MAX(0,G8-G7)/G9</f>
        <v/>
      </c>
    </row>
    <row r="11">
      <c r="A11" s="2" t="inlineStr">
        <is>
          <t xml:space="preserve">  funded by customers (prepay + customer GPUs)</t>
        </is>
      </c>
      <c r="C11" s="32">
        <f>C10*Inputs!C$48</f>
        <v/>
      </c>
      <c r="D11" s="32">
        <f>D10*Inputs!D$48</f>
        <v/>
      </c>
      <c r="E11" s="32">
        <f>E10*Inputs!E$48</f>
        <v/>
      </c>
      <c r="F11" s="32">
        <f>F10*Inputs!F$48</f>
        <v/>
      </c>
      <c r="G11" s="32">
        <f>G10*Inputs!G$48</f>
        <v/>
      </c>
      <c r="J11" s="13" t="inlineStr">
        <is>
          <t>Anchored to management: prepaid + customer-supplied hardware "now total $75 billion" (press release 6/10/26).</t>
        </is>
      </c>
    </row>
    <row r="12">
      <c r="A12" s="6" t="inlineStr">
        <is>
          <t>ORACLE-FUNDED GROWTH CAPEX</t>
        </is>
      </c>
      <c r="C12" s="32">
        <f>C10-C11</f>
        <v/>
      </c>
      <c r="D12" s="32">
        <f>D10-D11</f>
        <v/>
      </c>
      <c r="E12" s="32">
        <f>E10-E11</f>
        <v/>
      </c>
      <c r="F12" s="32">
        <f>F10-F11</f>
        <v/>
      </c>
      <c r="G12" s="32">
        <f>G10-G11</f>
        <v/>
      </c>
    </row>
    <row r="14">
      <c r="A14" s="10" t="inlineStr">
        <is>
          <t>PASS 1 — provisional depreciation, used only to size maintenance capex</t>
        </is>
      </c>
      <c r="B14" s="11" t="n"/>
      <c r="C14" s="11" t="n"/>
      <c r="D14" s="11" t="n"/>
      <c r="E14" s="11" t="n"/>
      <c r="F14" s="11" t="n"/>
      <c r="G14" s="11" t="n"/>
      <c r="H14" s="11" t="n"/>
    </row>
    <row r="15">
      <c r="A15" s="2" t="inlineStr">
        <is>
          <t>Annual depreciation rate on a $1 vintage</t>
        </is>
      </c>
      <c r="C15" s="39">
        <f>Inputs!$B$52/Inputs!$B$55+Inputs!$B$53/Inputs!$B$56</f>
        <v/>
      </c>
      <c r="D15" s="39">
        <f>Inputs!$B$52/Inputs!$B$55+Inputs!$B$53/Inputs!$B$56</f>
        <v/>
      </c>
      <c r="E15" s="39">
        <f>Inputs!$B$52/Inputs!$B$55+Inputs!$B$53/Inputs!$B$56</f>
        <v/>
      </c>
      <c r="F15" s="39">
        <f>Inputs!$B$52/Inputs!$B$55+Inputs!$B$53/Inputs!$B$56</f>
        <v/>
      </c>
      <c r="G15" s="39">
        <f>Inputs!$B$52/Inputs!$B$55+Inputs!$B$53/Inputs!$B$56</f>
        <v/>
      </c>
      <c r="J15" s="13" t="inlineStr">
        <is>
          <t>Equipment 6-yr (10-K R50: servers and networking equipment) + buildings 25-yr. Land does not depreciate.</t>
        </is>
      </c>
    </row>
    <row r="16">
      <c r="A16" s="2" t="inlineStr">
        <is>
          <t>CIP released into service</t>
        </is>
      </c>
      <c r="C16" s="32">
        <f>Inputs!$B$57*Inputs!$B$58</f>
        <v/>
      </c>
      <c r="D16" s="32">
        <f>Inputs!$B$57*Inputs!$B$59</f>
        <v/>
      </c>
      <c r="E16" s="32" t="n">
        <v>0</v>
      </c>
      <c r="F16" s="32" t="n">
        <v>0</v>
      </c>
      <c r="G16" s="32" t="n">
        <v>0</v>
      </c>
      <c r="J16" s="13" t="inlineStr">
        <is>
          <t>The $39,973m CIP balance at 5/31/26 begins depreciating. This alone is the single largest driver of the FY27 margin guide-down.</t>
        </is>
      </c>
    </row>
    <row r="17">
      <c r="A17" s="2" t="inlineStr">
        <is>
          <t>Provisional in-service additions</t>
        </is>
      </c>
      <c r="C17" s="32">
        <f>C16+Inputs!$B$60*C12</f>
        <v/>
      </c>
      <c r="D17" s="32">
        <f>D16+Inputs!$B$60*D12+Inputs!$B$61*C12</f>
        <v/>
      </c>
      <c r="E17" s="32">
        <f>E16+Inputs!$B$60*E12+Inputs!$B$61*D12</f>
        <v/>
      </c>
      <c r="F17" s="32">
        <f>F16+Inputs!$B$60*F12+Inputs!$B$61*E12</f>
        <v/>
      </c>
      <c r="G17" s="32">
        <f>G16+Inputs!$B$60*G12+Inputs!$B$61*F12</f>
        <v/>
      </c>
    </row>
    <row r="18">
      <c r="A18" s="2" t="inlineStr">
        <is>
          <t>Provisional depreciation on new vintages</t>
        </is>
      </c>
      <c r="C18" s="32">
        <f>$C$17*$C$15*0.5</f>
        <v/>
      </c>
      <c r="D18" s="32">
        <f>$C$17*$C$15*1+$D$17*$C$15*0.5</f>
        <v/>
      </c>
      <c r="E18" s="32">
        <f>$C$17*$C$15*1+$D$17*$C$15*1+$E$17*$C$15*0.5</f>
        <v/>
      </c>
      <c r="F18" s="32">
        <f>$C$17*$C$15*1+$D$17*$C$15*1+$E$17*$C$15*1+$F$17*$C$15*0.5</f>
        <v/>
      </c>
      <c r="G18" s="32">
        <f>$C$17*$C$15*1+$D$17*$C$15*1+$E$17*$C$15*1+$F$17*$C$15*1+$G$17*$C$15*0.5</f>
        <v/>
      </c>
    </row>
    <row r="19">
      <c r="A19" s="2" t="inlineStr">
        <is>
          <t>Depreciation on the existing in-service base</t>
        </is>
      </c>
      <c r="C19" s="32">
        <f>((Inputs!$B$57*0+122651-Inputs!$B$57)-22694)/Inputs!$B$62</f>
        <v/>
      </c>
      <c r="D19" s="32">
        <f>((Inputs!$B$57*0+122651-Inputs!$B$57)-22694)/Inputs!$B$62</f>
        <v/>
      </c>
      <c r="E19" s="32">
        <f>((Inputs!$B$57*0+122651-Inputs!$B$57)-22694)/Inputs!$B$62</f>
        <v/>
      </c>
      <c r="F19" s="32">
        <f>((Inputs!$B$57*0+122651-Inputs!$B$57)-22694)/Inputs!$B$62</f>
        <v/>
      </c>
      <c r="G19" s="32">
        <f>((Inputs!$B$57*0+122651-Inputs!$B$57)-22694)/Inputs!$B$62</f>
        <v/>
      </c>
      <c r="J19" s="13" t="inlineStr">
        <is>
          <t>Gross PP&amp;E $122,651m less CIP $39,973m = $82,678m in service; less accumulated depreciation $22,694m = $59,984m NBV (10-K R49), over 5 years.</t>
        </is>
      </c>
    </row>
    <row r="20">
      <c r="A20" s="2" t="inlineStr">
        <is>
          <t>Provisional total depreciation</t>
        </is>
      </c>
      <c r="C20" s="32">
        <f>C18+C19</f>
        <v/>
      </c>
      <c r="D20" s="32">
        <f>D18+D19</f>
        <v/>
      </c>
      <c r="E20" s="32">
        <f>E18+E19</f>
        <v/>
      </c>
      <c r="F20" s="32">
        <f>F18+F19</f>
        <v/>
      </c>
      <c r="G20" s="32">
        <f>G18+G19</f>
        <v/>
      </c>
    </row>
    <row r="21">
      <c r="A21" s="2" t="inlineStr">
        <is>
          <t>Maintenance capex</t>
        </is>
      </c>
      <c r="C21" s="32">
        <f>C20*Inputs!C$49</f>
        <v/>
      </c>
      <c r="D21" s="32">
        <f>D20*Inputs!D$49</f>
        <v/>
      </c>
      <c r="E21" s="32">
        <f>E20*Inputs!E$49</f>
        <v/>
      </c>
      <c r="F21" s="32">
        <f>F20*Inputs!F$49</f>
        <v/>
      </c>
      <c r="G21" s="32">
        <f>G20*Inputs!G$49</f>
        <v/>
      </c>
    </row>
    <row r="22">
      <c r="A22" s="2" t="inlineStr">
        <is>
          <t>Committed capex floor</t>
        </is>
      </c>
      <c r="C22" s="34">
        <f>Inputs!C$50</f>
        <v/>
      </c>
      <c r="D22" s="34">
        <f>Inputs!D$50</f>
        <v/>
      </c>
      <c r="E22" s="34">
        <f>Inputs!E$50</f>
        <v/>
      </c>
      <c r="F22" s="34">
        <f>Inputs!F$50</f>
        <v/>
      </c>
      <c r="G22" s="34">
        <f>Inputs!G$50</f>
        <v/>
      </c>
      <c r="J22" s="13" t="inlineStr">
        <is>
          <t>GPU/server orders and data-centre leases placed 12–18 months ahead. This is what turns a demand shortfall into a funding problem.</t>
        </is>
      </c>
    </row>
    <row r="23">
      <c r="A23" s="6" t="inlineStr">
        <is>
          <t>TOTAL CAPEX</t>
        </is>
      </c>
      <c r="C23" s="32">
        <f>MAX(C12+C21,C22)</f>
        <v/>
      </c>
      <c r="D23" s="32">
        <f>MAX(D12+D21,D22)</f>
        <v/>
      </c>
      <c r="E23" s="32">
        <f>MAX(E12+E21,E22)</f>
        <v/>
      </c>
      <c r="F23" s="32">
        <f>MAX(F12+F21,F22)</f>
        <v/>
      </c>
      <c r="G23" s="32">
        <f>MAX(G12+G21,G22)</f>
        <v/>
      </c>
    </row>
    <row r="24">
      <c r="A24" s="2" t="inlineStr">
        <is>
          <t xml:space="preserve">  3-year rolling average</t>
        </is>
      </c>
      <c r="C24" s="32" t="inlineStr"/>
      <c r="D24" s="32">
        <f>AVERAGE($C$23:D23)</f>
        <v/>
      </c>
      <c r="E24" s="32">
        <f>AVERAGE($C$23:E23)</f>
        <v/>
      </c>
      <c r="F24" s="32">
        <f>AVERAGE(D23:F23)</f>
        <v/>
      </c>
      <c r="G24" s="32">
        <f>AVERAGE(E23:G23)</f>
        <v/>
      </c>
      <c r="J24" s="13" t="inlineStr">
        <is>
          <t>The annual path is lumpy BY CONSTRUCTION because the disclosed RPO conversion schedule is lumpy. Smoothing it would hide the mechanism.</t>
        </is>
      </c>
    </row>
    <row r="26">
      <c r="A26" s="10" t="inlineStr">
        <is>
          <t>PASS 2 — final depreciation vintage waterfall</t>
        </is>
      </c>
      <c r="B26" s="11" t="n"/>
      <c r="C26" s="11" t="n"/>
      <c r="D26" s="11" t="n"/>
      <c r="E26" s="11" t="n"/>
      <c r="F26" s="11" t="n"/>
      <c r="G26" s="11" t="n"/>
      <c r="H26" s="11" t="n"/>
    </row>
    <row r="27">
      <c r="A27" s="2" t="inlineStr">
        <is>
          <t>In-service additions</t>
        </is>
      </c>
      <c r="C27" s="32">
        <f>C16+Inputs!$B$60*C23</f>
        <v/>
      </c>
      <c r="D27" s="32">
        <f>D16+Inputs!$B$60*D23+Inputs!$B$61*C23</f>
        <v/>
      </c>
      <c r="E27" s="32">
        <f>E16+Inputs!$B$60*E23+Inputs!$B$61*D23</f>
        <v/>
      </c>
      <c r="F27" s="32">
        <f>F16+Inputs!$B$60*F23+Inputs!$B$61*E23</f>
        <v/>
      </c>
      <c r="G27" s="32">
        <f>G16+Inputs!$B$60*G23+Inputs!$B$61*F23</f>
        <v/>
      </c>
    </row>
    <row r="28">
      <c r="A28" s="2" t="inlineStr">
        <is>
          <t xml:space="preserve">  depreciation on the FY2027 vintage</t>
        </is>
      </c>
      <c r="C28" s="32">
        <f>$C$27*$C$15*0.5</f>
        <v/>
      </c>
      <c r="D28" s="32">
        <f>$C$27*$C$15*1</f>
        <v/>
      </c>
      <c r="E28" s="32">
        <f>$C$27*$C$15*1</f>
        <v/>
      </c>
      <c r="F28" s="32">
        <f>$C$27*$C$15*1</f>
        <v/>
      </c>
      <c r="G28" s="32">
        <f>$C$27*$C$15*1</f>
        <v/>
      </c>
    </row>
    <row r="29">
      <c r="A29" s="2" t="inlineStr">
        <is>
          <t xml:space="preserve">  depreciation on the FY2028 vintage</t>
        </is>
      </c>
      <c r="D29" s="32">
        <f>$D$27*$C$15*0.5</f>
        <v/>
      </c>
      <c r="E29" s="32">
        <f>$D$27*$C$15*1</f>
        <v/>
      </c>
      <c r="F29" s="32">
        <f>$D$27*$C$15*1</f>
        <v/>
      </c>
      <c r="G29" s="32">
        <f>$D$27*$C$15*1</f>
        <v/>
      </c>
    </row>
    <row r="30">
      <c r="A30" s="2" t="inlineStr">
        <is>
          <t xml:space="preserve">  depreciation on the FY2029 vintage</t>
        </is>
      </c>
      <c r="E30" s="32">
        <f>$E$27*$C$15*0.5</f>
        <v/>
      </c>
      <c r="F30" s="32">
        <f>$E$27*$C$15*1</f>
        <v/>
      </c>
      <c r="G30" s="32">
        <f>$E$27*$C$15*1</f>
        <v/>
      </c>
    </row>
    <row r="31">
      <c r="A31" s="2" t="inlineStr">
        <is>
          <t xml:space="preserve">  depreciation on the FY2030 vintage</t>
        </is>
      </c>
      <c r="F31" s="32">
        <f>$F$27*$C$15*0.5</f>
        <v/>
      </c>
      <c r="G31" s="32">
        <f>$F$27*$C$15*1</f>
        <v/>
      </c>
    </row>
    <row r="32">
      <c r="A32" s="2" t="inlineStr">
        <is>
          <t xml:space="preserve">  depreciation on the FY2031 vintage</t>
        </is>
      </c>
      <c r="G32" s="32">
        <f>$G$27*$C$15*0.5</f>
        <v/>
      </c>
    </row>
    <row r="33">
      <c r="A33" s="2" t="inlineStr">
        <is>
          <t>Depreciation on the existing in-service base</t>
        </is>
      </c>
      <c r="C33" s="34">
        <f>C19</f>
        <v/>
      </c>
      <c r="D33" s="34">
        <f>D19</f>
        <v/>
      </c>
      <c r="E33" s="34">
        <f>E19</f>
        <v/>
      </c>
      <c r="F33" s="34">
        <f>F19</f>
        <v/>
      </c>
      <c r="G33" s="34">
        <f>G19</f>
        <v/>
      </c>
    </row>
    <row r="34">
      <c r="A34" s="2" t="inlineStr">
        <is>
          <t>Less: relief from impaired assets</t>
        </is>
      </c>
      <c r="C34" s="32">
        <f>0</f>
        <v/>
      </c>
      <c r="D34" s="32">
        <f>-SUM(Inputs!C$43)/5</f>
        <v/>
      </c>
      <c r="E34" s="32">
        <f>-SUM(Inputs!C$43,Inputs!D$43)/5</f>
        <v/>
      </c>
      <c r="F34" s="32">
        <f>-SUM(Inputs!C$43,Inputs!D$43,Inputs!E$43)/5</f>
        <v/>
      </c>
      <c r="G34" s="32">
        <f>-SUM(Inputs!C$43,Inputs!D$43,Inputs!E$43,Inputs!F$43)/5</f>
        <v/>
      </c>
    </row>
    <row r="35">
      <c r="A35" s="6" t="inlineStr">
        <is>
          <t>TOTAL DEPRECIATION</t>
        </is>
      </c>
      <c r="C35" s="32">
        <f>SUM(C28:C32)+C33+C34</f>
        <v/>
      </c>
      <c r="D35" s="32">
        <f>SUM(D28:D32)+D33+D34</f>
        <v/>
      </c>
      <c r="E35" s="32">
        <f>SUM(E28:E32)+E33+E34</f>
        <v/>
      </c>
      <c r="F35" s="32">
        <f>SUM(F28:F32)+F33+F34</f>
        <v/>
      </c>
      <c r="G35" s="32">
        <f>SUM(G28:G32)+G33+G34</f>
        <v/>
      </c>
      <c r="J35" s="13" t="inlineStr">
        <is>
          <t>FY2026A was $7,623m. The step-up is the mechanical core of the whole story.</t>
        </is>
      </c>
    </row>
    <row r="37">
      <c r="A37" s="10" t="inlineStr">
        <is>
          <t>PP&amp;E ROLL-FORWARD</t>
        </is>
      </c>
      <c r="B37" s="11" t="n"/>
      <c r="C37" s="11" t="n"/>
      <c r="D37" s="11" t="n"/>
      <c r="E37" s="11" t="n"/>
      <c r="F37" s="11" t="n"/>
      <c r="G37" s="11" t="n"/>
      <c r="H37" s="11" t="n"/>
    </row>
    <row r="38">
      <c r="A38" s="2" t="inlineStr">
        <is>
          <t>Gross PP&amp;E, opening</t>
        </is>
      </c>
      <c r="C38" s="32">
        <f>122651</f>
        <v/>
      </c>
      <c r="D38" s="32">
        <f>C39</f>
        <v/>
      </c>
      <c r="E38" s="32">
        <f>D39</f>
        <v/>
      </c>
      <c r="F38" s="32">
        <f>E39</f>
        <v/>
      </c>
      <c r="G38" s="32">
        <f>F39</f>
        <v/>
      </c>
    </row>
    <row r="39">
      <c r="A39" s="2" t="inlineStr">
        <is>
          <t>Gross PP&amp;E, closing</t>
        </is>
      </c>
      <c r="C39" s="32">
        <f>C38+C23</f>
        <v/>
      </c>
      <c r="D39" s="32">
        <f>D38+D23</f>
        <v/>
      </c>
      <c r="E39" s="32">
        <f>E38+E23</f>
        <v/>
      </c>
      <c r="F39" s="32">
        <f>F38+F23</f>
        <v/>
      </c>
      <c r="G39" s="32">
        <f>G38+G23</f>
        <v/>
      </c>
    </row>
    <row r="40">
      <c r="A40" s="2" t="inlineStr">
        <is>
          <t>Accumulated depreciation, closing</t>
        </is>
      </c>
      <c r="C40" s="32">
        <f>22694+SUM($C$35:C35)</f>
        <v/>
      </c>
      <c r="D40" s="32">
        <f>22694+SUM($C$35:D35)</f>
        <v/>
      </c>
      <c r="E40" s="32">
        <f>22694+SUM($C$35:E35)</f>
        <v/>
      </c>
      <c r="F40" s="32">
        <f>22694+SUM($C$35:F35)</f>
        <v/>
      </c>
      <c r="G40" s="32">
        <f>22694+SUM($C$35:G35)</f>
        <v/>
      </c>
    </row>
    <row r="41">
      <c r="A41" s="2" t="inlineStr">
        <is>
          <t>Cumulative impairment</t>
        </is>
      </c>
      <c r="C41" s="32">
        <f>SUM(Inputs!$C$43:C$43)</f>
        <v/>
      </c>
      <c r="D41" s="32">
        <f>SUM(Inputs!$C$43:D$43)</f>
        <v/>
      </c>
      <c r="E41" s="32">
        <f>SUM(Inputs!$C$43:E$43)</f>
        <v/>
      </c>
      <c r="F41" s="32">
        <f>SUM(Inputs!$C$43:F$43)</f>
        <v/>
      </c>
      <c r="G41" s="32">
        <f>SUM(Inputs!$C$43:G$43)</f>
        <v/>
      </c>
    </row>
    <row r="42">
      <c r="A42" s="6" t="inlineStr">
        <is>
          <t>NET PP&amp;E</t>
        </is>
      </c>
      <c r="C42" s="32">
        <f>C39-C40-C41</f>
        <v/>
      </c>
      <c r="D42" s="32">
        <f>D39-D40-D41</f>
        <v/>
      </c>
      <c r="E42" s="32">
        <f>E39-E40-E41</f>
        <v/>
      </c>
      <c r="F42" s="32">
        <f>F39-F40-F41</f>
        <v/>
      </c>
      <c r="G42" s="32">
        <f>G39-G40-G41</f>
        <v/>
      </c>
      <c r="J42" s="13" t="inlineStr">
        <is>
          <t>FY2026A $99,957m (10-K R2).</t>
        </is>
      </c>
    </row>
    <row r="43">
      <c r="A43" s="2" t="inlineStr">
        <is>
          <t>Construction in progress, closing</t>
        </is>
      </c>
      <c r="C43" s="32">
        <f>MAX(0,Inputs!$B$57+C23-C27)</f>
        <v/>
      </c>
      <c r="D43" s="32">
        <f>MAX(0,C43+D23-D27)</f>
        <v/>
      </c>
      <c r="E43" s="32">
        <f>MAX(0,D43+E23-E27)</f>
        <v/>
      </c>
      <c r="F43" s="32">
        <f>MAX(0,E43+F23-F27)</f>
        <v/>
      </c>
      <c r="G43" s="32">
        <f>MAX(0,F43+G23-G27)</f>
        <v/>
      </c>
      <c r="J43" s="13" t="inlineStr">
        <is>
          <t>FY2026A $39,973m (10-K R49).</t>
        </is>
      </c>
    </row>
    <row r="44">
      <c r="A44" s="2" t="inlineStr">
        <is>
          <t>Cumulative capex FY27 onwards</t>
        </is>
      </c>
      <c r="C44" s="32">
        <f>SUM($C$23:C23)</f>
        <v/>
      </c>
      <c r="D44" s="32">
        <f>SUM($C$23:D23)</f>
        <v/>
      </c>
      <c r="E44" s="32">
        <f>SUM($C$23:E23)</f>
        <v/>
      </c>
      <c r="F44" s="32">
        <f>SUM($C$23:F23)</f>
        <v/>
      </c>
      <c r="G44" s="32">
        <f>SUM($C$23:G23)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9"/>
  <sheetViews>
    <sheetView showGridLines="0"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78" customWidth="1" min="10" max="10"/>
  </cols>
  <sheetData>
    <row r="1">
      <c r="A1" s="1" t="inlineStr">
        <is>
          <t>INCOME STATEMENT — GAAP, FY2027E–FY2031E</t>
        </is>
      </c>
    </row>
    <row r="2">
      <c r="A2" s="38" t="inlineStr">
        <is>
          <t>Depreciation sits inside cost of revenue, as Oracle reports it. That is why the buildout hits gross margin, non-GAAP EPS and GAAP EPS alike.</t>
        </is>
      </c>
    </row>
    <row r="4">
      <c r="A4" s="8" t="inlineStr">
        <is>
          <t>$ millions</t>
        </is>
      </c>
      <c r="B4" s="9" t="inlineStr"/>
      <c r="C4" s="9" t="inlineStr">
        <is>
          <t>FY2027E</t>
        </is>
      </c>
      <c r="D4" s="9" t="inlineStr">
        <is>
          <t>FY2028E</t>
        </is>
      </c>
      <c r="E4" s="9" t="inlineStr">
        <is>
          <t>FY2029E</t>
        </is>
      </c>
      <c r="F4" s="9" t="inlineStr">
        <is>
          <t>FY2030E</t>
        </is>
      </c>
      <c r="G4" s="9" t="inlineStr">
        <is>
          <t>FY2031E</t>
        </is>
      </c>
      <c r="H4" s="9" t="inlineStr"/>
      <c r="I4" s="9" t="inlineStr"/>
      <c r="J4" s="9" t="inlineStr">
        <is>
          <t>Note</t>
        </is>
      </c>
    </row>
    <row r="6">
      <c r="A6" s="10" t="inlineStr">
        <is>
          <t>REVENUE</t>
        </is>
      </c>
      <c r="B6" s="11" t="n"/>
      <c r="C6" s="11" t="n"/>
      <c r="D6" s="11" t="n"/>
      <c r="E6" s="11" t="n"/>
      <c r="F6" s="11" t="n"/>
      <c r="G6" s="11" t="n"/>
      <c r="H6" s="11" t="n"/>
    </row>
    <row r="7">
      <c r="A7" s="2" t="inlineStr">
        <is>
          <t>Cloud infrastructure (IaaS)</t>
        </is>
      </c>
      <c r="C7" s="34">
        <f>RPO_Schedule!C40</f>
        <v/>
      </c>
      <c r="D7" s="34">
        <f>RPO_Schedule!D40</f>
        <v/>
      </c>
      <c r="E7" s="34">
        <f>RPO_Schedule!E40</f>
        <v/>
      </c>
      <c r="F7" s="34">
        <f>RPO_Schedule!F40</f>
        <v/>
      </c>
      <c r="G7" s="34">
        <f>RPO_Schedule!G40</f>
        <v/>
      </c>
    </row>
    <row r="8">
      <c r="A8" s="2" t="inlineStr">
        <is>
          <t>Cloud applications (SaaS)</t>
        </is>
      </c>
      <c r="C8" s="34">
        <f>RPO_Schedule!C35</f>
        <v/>
      </c>
      <c r="D8" s="34">
        <f>RPO_Schedule!D35</f>
        <v/>
      </c>
      <c r="E8" s="34">
        <f>RPO_Schedule!E35</f>
        <v/>
      </c>
      <c r="F8" s="34">
        <f>RPO_Schedule!F35</f>
        <v/>
      </c>
      <c r="G8" s="34">
        <f>RPO_Schedule!G35</f>
        <v/>
      </c>
    </row>
    <row r="9">
      <c r="A9" s="2" t="inlineStr">
        <is>
          <t>Software licence</t>
        </is>
      </c>
      <c r="C9" s="34">
        <f>RPO_Schedule!C36</f>
        <v/>
      </c>
      <c r="D9" s="34">
        <f>RPO_Schedule!D36</f>
        <v/>
      </c>
      <c r="E9" s="34">
        <f>RPO_Schedule!E36</f>
        <v/>
      </c>
      <c r="F9" s="34">
        <f>RPO_Schedule!F36</f>
        <v/>
      </c>
      <c r="G9" s="34">
        <f>RPO_Schedule!G36</f>
        <v/>
      </c>
    </row>
    <row r="10">
      <c r="A10" s="2" t="inlineStr">
        <is>
          <t>Software support</t>
        </is>
      </c>
      <c r="C10" s="34">
        <f>RPO_Schedule!C37</f>
        <v/>
      </c>
      <c r="D10" s="34">
        <f>RPO_Schedule!D37</f>
        <v/>
      </c>
      <c r="E10" s="34">
        <f>RPO_Schedule!E37</f>
        <v/>
      </c>
      <c r="F10" s="34">
        <f>RPO_Schedule!F37</f>
        <v/>
      </c>
      <c r="G10" s="34">
        <f>RPO_Schedule!G37</f>
        <v/>
      </c>
    </row>
    <row r="11">
      <c r="A11" s="2" t="inlineStr">
        <is>
          <t>Services</t>
        </is>
      </c>
      <c r="C11" s="34">
        <f>RPO_Schedule!C38</f>
        <v/>
      </c>
      <c r="D11" s="34">
        <f>RPO_Schedule!D38</f>
        <v/>
      </c>
      <c r="E11" s="34">
        <f>RPO_Schedule!E38</f>
        <v/>
      </c>
      <c r="F11" s="34">
        <f>RPO_Schedule!F38</f>
        <v/>
      </c>
      <c r="G11" s="34">
        <f>RPO_Schedule!G38</f>
        <v/>
      </c>
    </row>
    <row r="12">
      <c r="A12" s="2" t="inlineStr">
        <is>
          <t>Hardware</t>
        </is>
      </c>
      <c r="C12" s="34">
        <f>RPO_Schedule!C39</f>
        <v/>
      </c>
      <c r="D12" s="34">
        <f>RPO_Schedule!D39</f>
        <v/>
      </c>
      <c r="E12" s="34">
        <f>RPO_Schedule!E39</f>
        <v/>
      </c>
      <c r="F12" s="34">
        <f>RPO_Schedule!F39</f>
        <v/>
      </c>
      <c r="G12" s="34">
        <f>RPO_Schedule!G39</f>
        <v/>
      </c>
    </row>
    <row r="13">
      <c r="A13" s="6" t="inlineStr">
        <is>
          <t>TOTAL REVENUE</t>
        </is>
      </c>
      <c r="C13" s="32">
        <f>SUM(C7:C12)</f>
        <v/>
      </c>
      <c r="D13" s="32">
        <f>SUM(D7:D12)</f>
        <v/>
      </c>
      <c r="E13" s="32">
        <f>SUM(E7:E12)</f>
        <v/>
      </c>
      <c r="F13" s="32">
        <f>SUM(F7:F12)</f>
        <v/>
      </c>
      <c r="G13" s="32">
        <f>SUM(G7:G12)</f>
        <v/>
      </c>
    </row>
    <row r="14">
      <c r="A14" s="2" t="inlineStr">
        <is>
          <t xml:space="preserve">  y/y growth</t>
        </is>
      </c>
      <c r="C14" s="14">
        <f>C13/Historicals!D13-1</f>
        <v/>
      </c>
      <c r="D14" s="14">
        <f>D13/C13-1</f>
        <v/>
      </c>
      <c r="E14" s="14">
        <f>E13/D13-1</f>
        <v/>
      </c>
      <c r="F14" s="14">
        <f>F13/E13-1</f>
        <v/>
      </c>
      <c r="G14" s="14">
        <f>G13/F13-1</f>
        <v/>
      </c>
    </row>
    <row r="16">
      <c r="A16" s="10" t="inlineStr">
        <is>
          <t>COST OF REVENUE</t>
        </is>
      </c>
      <c r="B16" s="11" t="n"/>
      <c r="C16" s="11" t="n"/>
      <c r="D16" s="11" t="n"/>
      <c r="E16" s="11" t="n"/>
      <c r="F16" s="11" t="n"/>
      <c r="G16" s="11" t="n"/>
      <c r="H16" s="11" t="n"/>
    </row>
    <row r="17">
      <c r="A17" s="2" t="inlineStr">
        <is>
          <t>Depreciation charged to IaaS</t>
        </is>
      </c>
      <c r="C17" s="32">
        <f>Capex_Depreciation!C35*Inputs!C$31</f>
        <v/>
      </c>
      <c r="D17" s="32">
        <f>Capex_Depreciation!D35*Inputs!D$31</f>
        <v/>
      </c>
      <c r="E17" s="32">
        <f>Capex_Depreciation!E35*Inputs!E$31</f>
        <v/>
      </c>
      <c r="F17" s="32">
        <f>Capex_Depreciation!F35*Inputs!F$31</f>
        <v/>
      </c>
      <c r="G17" s="32">
        <f>Capex_Depreciation!G35*Inputs!G$31</f>
        <v/>
      </c>
      <c r="J17" s="13" t="inlineStr">
        <is>
          <t>The buildout arrives here. Oracle does NOT exclude depreciation from non-GAAP.</t>
        </is>
      </c>
    </row>
    <row r="18">
      <c r="A18" s="2" t="inlineStr">
        <is>
          <t>IaaS cost ex-depreciation</t>
        </is>
      </c>
      <c r="C18" s="40">
        <f>C7*Inputs!C$30</f>
        <v/>
      </c>
      <c r="D18" s="40">
        <f>D7*Inputs!D$30</f>
        <v/>
      </c>
      <c r="E18" s="40">
        <f>E7*Inputs!E$30</f>
        <v/>
      </c>
      <c r="F18" s="40">
        <f>F7*Inputs!F$30</f>
        <v/>
      </c>
      <c r="G18" s="40">
        <f>G7*Inputs!G$30</f>
        <v/>
      </c>
      <c r="J18" s="13" t="inlineStr">
        <is>
          <t>KEY LEVER.</t>
        </is>
      </c>
    </row>
    <row r="19">
      <c r="A19" s="2" t="inlineStr">
        <is>
          <t>Cost of IaaS</t>
        </is>
      </c>
      <c r="C19" s="32">
        <f>C17+C18</f>
        <v/>
      </c>
      <c r="D19" s="32">
        <f>D17+D18</f>
        <v/>
      </c>
      <c r="E19" s="32">
        <f>E17+E18</f>
        <v/>
      </c>
      <c r="F19" s="32">
        <f>F17+F18</f>
        <v/>
      </c>
      <c r="G19" s="32">
        <f>G17+G18</f>
        <v/>
      </c>
    </row>
    <row r="20">
      <c r="A20" s="2" t="inlineStr">
        <is>
          <t>Cost of SaaS</t>
        </is>
      </c>
      <c r="C20" s="32">
        <f>C8*(1-Inputs!C$32)</f>
        <v/>
      </c>
      <c r="D20" s="32">
        <f>D8*(1-Inputs!D$32)</f>
        <v/>
      </c>
      <c r="E20" s="32">
        <f>E8*(1-Inputs!E$32)</f>
        <v/>
      </c>
      <c r="F20" s="32">
        <f>F8*(1-Inputs!F$32)</f>
        <v/>
      </c>
      <c r="G20" s="32">
        <f>G8*(1-Inputs!G$32)</f>
        <v/>
      </c>
    </row>
    <row r="21">
      <c r="A21" s="2" t="inlineStr">
        <is>
          <t>Cost of software</t>
        </is>
      </c>
      <c r="C21" s="32">
        <f>C10*(1-Inputs!C$33)+C9*(1-Inputs!C$34)</f>
        <v/>
      </c>
      <c r="D21" s="32">
        <f>D10*(1-Inputs!D$33)+D9*(1-Inputs!D$34)</f>
        <v/>
      </c>
      <c r="E21" s="32">
        <f>E10*(1-Inputs!E$33)+E9*(1-Inputs!E$34)</f>
        <v/>
      </c>
      <c r="F21" s="32">
        <f>F10*(1-Inputs!F$33)+F9*(1-Inputs!F$34)</f>
        <v/>
      </c>
      <c r="G21" s="32">
        <f>G10*(1-Inputs!G$33)+G9*(1-Inputs!G$34)</f>
        <v/>
      </c>
    </row>
    <row r="22">
      <c r="A22" s="2" t="inlineStr">
        <is>
          <t>Cost of services</t>
        </is>
      </c>
      <c r="C22" s="32">
        <f>C11*(1-Inputs!C$35)</f>
        <v/>
      </c>
      <c r="D22" s="32">
        <f>D11*(1-Inputs!D$35)</f>
        <v/>
      </c>
      <c r="E22" s="32">
        <f>E11*(1-Inputs!E$35)</f>
        <v/>
      </c>
      <c r="F22" s="32">
        <f>F11*(1-Inputs!F$35)</f>
        <v/>
      </c>
      <c r="G22" s="32">
        <f>G11*(1-Inputs!G$35)</f>
        <v/>
      </c>
    </row>
    <row r="23">
      <c r="A23" s="2" t="inlineStr">
        <is>
          <t>Cost of hardware</t>
        </is>
      </c>
      <c r="C23" s="32">
        <f>C12*(1-Inputs!C$36)</f>
        <v/>
      </c>
      <c r="D23" s="32">
        <f>D12*(1-Inputs!D$36)</f>
        <v/>
      </c>
      <c r="E23" s="32">
        <f>E12*(1-Inputs!E$36)</f>
        <v/>
      </c>
      <c r="F23" s="32">
        <f>F12*(1-Inputs!F$36)</f>
        <v/>
      </c>
      <c r="G23" s="32">
        <f>G12*(1-Inputs!G$36)</f>
        <v/>
      </c>
    </row>
    <row r="24">
      <c r="A24" s="6" t="inlineStr">
        <is>
          <t>TOTAL COST OF REVENUE</t>
        </is>
      </c>
      <c r="C24" s="32">
        <f>SUM(C19:C23)</f>
        <v/>
      </c>
      <c r="D24" s="32">
        <f>SUM(D19:D23)</f>
        <v/>
      </c>
      <c r="E24" s="32">
        <f>SUM(E19:E23)</f>
        <v/>
      </c>
      <c r="F24" s="32">
        <f>SUM(F19:F23)</f>
        <v/>
      </c>
      <c r="G24" s="32">
        <f>SUM(G19:G23)</f>
        <v/>
      </c>
    </row>
    <row r="25">
      <c r="A25" s="6" t="inlineStr">
        <is>
          <t>GROSS PROFIT</t>
        </is>
      </c>
      <c r="C25" s="32">
        <f>C13-C24</f>
        <v/>
      </c>
      <c r="D25" s="32">
        <f>D13-D24</f>
        <v/>
      </c>
      <c r="E25" s="32">
        <f>E13-E24</f>
        <v/>
      </c>
      <c r="F25" s="32">
        <f>F13-F24</f>
        <v/>
      </c>
      <c r="G25" s="32">
        <f>G13-G24</f>
        <v/>
      </c>
    </row>
    <row r="26">
      <c r="A26" s="6" t="inlineStr">
        <is>
          <t xml:space="preserve">  gross margin</t>
        </is>
      </c>
      <c r="C26" s="14">
        <f>C25/C13</f>
        <v/>
      </c>
      <c r="D26" s="14">
        <f>D25/D13</f>
        <v/>
      </c>
      <c r="E26" s="14">
        <f>E25/E13</f>
        <v/>
      </c>
      <c r="F26" s="14">
        <f>F25/F13</f>
        <v/>
      </c>
      <c r="G26" s="14">
        <f>G25/G13</f>
        <v/>
      </c>
      <c r="J26" s="13" t="inlineStr">
        <is>
          <t>FY2026A 65.82%. Consensus FY2027E 59.98%.</t>
        </is>
      </c>
    </row>
    <row r="27">
      <c r="A27" s="2" t="inlineStr">
        <is>
          <t xml:space="preserve">  IaaS gross margin (memo)</t>
        </is>
      </c>
      <c r="C27" s="14">
        <f>1-C19/C7</f>
        <v/>
      </c>
      <c r="D27" s="14">
        <f>1-D19/D7</f>
        <v/>
      </c>
      <c r="E27" s="14">
        <f>1-E19/E7</f>
        <v/>
      </c>
      <c r="F27" s="14">
        <f>1-F19/F7</f>
        <v/>
      </c>
      <c r="G27" s="14">
        <f>1-G19/G7</f>
        <v/>
      </c>
      <c r="J27" s="13" t="inlineStr">
        <is>
          <t>FY2026A ~30% (derived on the Historicals tab).</t>
        </is>
      </c>
    </row>
    <row r="29">
      <c r="A29" s="10" t="inlineStr">
        <is>
          <t>OPERATING EXPENSE</t>
        </is>
      </c>
      <c r="B29" s="11" t="n"/>
      <c r="C29" s="11" t="n"/>
      <c r="D29" s="11" t="n"/>
      <c r="E29" s="11" t="n"/>
      <c r="F29" s="11" t="n"/>
      <c r="G29" s="11" t="n"/>
      <c r="H29" s="11" t="n"/>
    </row>
    <row r="30">
      <c r="A30" s="2" t="inlineStr">
        <is>
          <t>Sales &amp; marketing</t>
        </is>
      </c>
      <c r="C30" s="40">
        <f>C13*Inputs!C$38</f>
        <v/>
      </c>
      <c r="D30" s="40">
        <f>D13*Inputs!D$38</f>
        <v/>
      </c>
      <c r="E30" s="40">
        <f>E13*Inputs!E$38</f>
        <v/>
      </c>
      <c r="F30" s="40">
        <f>F13*Inputs!F$38</f>
        <v/>
      </c>
      <c r="G30" s="40">
        <f>G13*Inputs!G$38</f>
        <v/>
      </c>
      <c r="J30" s="13" t="inlineStr">
        <is>
          <t>FY2026A $8,331m = 12.4% of revenue.</t>
        </is>
      </c>
    </row>
    <row r="31">
      <c r="A31" s="2" t="inlineStr">
        <is>
          <t>Research &amp; development</t>
        </is>
      </c>
      <c r="C31" s="32">
        <f>Historicals!D18*(1+Inputs!C$39)</f>
        <v/>
      </c>
      <c r="D31" s="32">
        <f>C31*(1+Inputs!D$39)</f>
        <v/>
      </c>
      <c r="E31" s="32">
        <f>D31*(1+Inputs!E$39)</f>
        <v/>
      </c>
      <c r="F31" s="32">
        <f>E31*(1+Inputs!F$39)</f>
        <v/>
      </c>
      <c r="G31" s="32">
        <f>F31*(1+Inputs!G$39)</f>
        <v/>
      </c>
    </row>
    <row r="32">
      <c r="A32" s="2" t="inlineStr">
        <is>
          <t>General &amp; administrative</t>
        </is>
      </c>
      <c r="C32" s="32">
        <f>Historicals!D19*(1+Inputs!C$40)</f>
        <v/>
      </c>
      <c r="D32" s="32">
        <f>C32*(1+Inputs!D$40)</f>
        <v/>
      </c>
      <c r="E32" s="32">
        <f>D32*(1+Inputs!E$40)</f>
        <v/>
      </c>
      <c r="F32" s="32">
        <f>E32*(1+Inputs!F$40)</f>
        <v/>
      </c>
      <c r="G32" s="32">
        <f>F32*(1+Inputs!G$40)</f>
        <v/>
      </c>
    </row>
    <row r="33">
      <c r="A33" s="2" t="inlineStr">
        <is>
          <t>Amortisation of intangible assets</t>
        </is>
      </c>
      <c r="C33" s="34">
        <f>Inputs!C$44</f>
        <v/>
      </c>
      <c r="D33" s="34">
        <f>Inputs!D$44</f>
        <v/>
      </c>
      <c r="E33" s="34">
        <f>Inputs!E$44</f>
        <v/>
      </c>
      <c r="F33" s="34">
        <f>Inputs!F$44</f>
        <v/>
      </c>
      <c r="G33" s="34">
        <f>Inputs!G$44</f>
        <v/>
      </c>
      <c r="J33" s="13" t="inlineStr">
        <is>
          <t>DISCLOSED in full: 10-K R53 gives FY27–FY31 amortisation. No estimate required.</t>
        </is>
      </c>
    </row>
    <row r="34">
      <c r="A34" s="2" t="inlineStr">
        <is>
          <t>Restructuring, other and impairment</t>
        </is>
      </c>
      <c r="C34" s="34">
        <f>Inputs!C$42+Inputs!C$43</f>
        <v/>
      </c>
      <c r="D34" s="34">
        <f>Inputs!D$42+Inputs!D$43</f>
        <v/>
      </c>
      <c r="E34" s="34">
        <f>Inputs!E$42+Inputs!E$43</f>
        <v/>
      </c>
      <c r="F34" s="34">
        <f>Inputs!F$42+Inputs!F$43</f>
        <v/>
      </c>
      <c r="G34" s="34">
        <f>Inputs!G$42+Inputs!G$43</f>
        <v/>
      </c>
    </row>
    <row r="35">
      <c r="A35" s="6" t="inlineStr">
        <is>
          <t>GAAP OPERATING INCOME</t>
        </is>
      </c>
      <c r="C35" s="32">
        <f>C25-C30-C31-C32-C33-C34</f>
        <v/>
      </c>
      <c r="D35" s="32">
        <f>D25-D30-D31-D32-D33-D34</f>
        <v/>
      </c>
      <c r="E35" s="32">
        <f>E25-E30-E31-E32-E33-E34</f>
        <v/>
      </c>
      <c r="F35" s="32">
        <f>F25-F30-F31-F32-F33-F34</f>
        <v/>
      </c>
      <c r="G35" s="32">
        <f>G25-G30-G31-G32-G33-G34</f>
        <v/>
      </c>
    </row>
    <row r="36">
      <c r="A36" s="2" t="inlineStr">
        <is>
          <t xml:space="preserve">  operating margin</t>
        </is>
      </c>
      <c r="C36" s="14">
        <f>C35/C13</f>
        <v/>
      </c>
      <c r="D36" s="14">
        <f>D35/D13</f>
        <v/>
      </c>
      <c r="E36" s="14">
        <f>E35/E13</f>
        <v/>
      </c>
      <c r="F36" s="14">
        <f>F35/F13</f>
        <v/>
      </c>
      <c r="G36" s="14">
        <f>G35/G13</f>
        <v/>
      </c>
    </row>
    <row r="38">
      <c r="A38" s="10" t="inlineStr">
        <is>
          <t>BELOW THE LINE</t>
        </is>
      </c>
      <c r="B38" s="11" t="n"/>
      <c r="C38" s="11" t="n"/>
      <c r="D38" s="11" t="n"/>
      <c r="E38" s="11" t="n"/>
      <c r="F38" s="11" t="n"/>
      <c r="G38" s="11" t="n"/>
      <c r="H38" s="11" t="n"/>
    </row>
    <row r="39">
      <c r="A39" s="2" t="inlineStr">
        <is>
          <t>Interest expense</t>
        </is>
      </c>
      <c r="C39" s="34">
        <f>-Debt_Shares!C11</f>
        <v/>
      </c>
      <c r="D39" s="34">
        <f>-Debt_Shares!D11</f>
        <v/>
      </c>
      <c r="E39" s="34">
        <f>-Debt_Shares!E11</f>
        <v/>
      </c>
      <c r="F39" s="34">
        <f>-Debt_Shares!F11</f>
        <v/>
      </c>
      <c r="G39" s="34">
        <f>-Debt_Shares!G11</f>
        <v/>
      </c>
      <c r="J39" s="13" t="inlineStr">
        <is>
          <t>FY2026A $(4,599)m.</t>
        </is>
      </c>
    </row>
    <row r="40">
      <c r="A40" s="2" t="inlineStr">
        <is>
          <t>Interest income</t>
        </is>
      </c>
      <c r="C40" s="34">
        <f>Debt_Shares!C17</f>
        <v/>
      </c>
      <c r="D40" s="34">
        <f>Debt_Shares!D17</f>
        <v/>
      </c>
      <c r="E40" s="34">
        <f>Debt_Shares!E17</f>
        <v/>
      </c>
      <c r="F40" s="34">
        <f>Debt_Shares!F17</f>
        <v/>
      </c>
      <c r="G40" s="34">
        <f>Debt_Shares!G17</f>
        <v/>
      </c>
    </row>
    <row r="41">
      <c r="A41" s="2" t="inlineStr">
        <is>
          <t>Other non-operating (FX, NCI)</t>
        </is>
      </c>
      <c r="C41" s="31" t="n">
        <v>-250</v>
      </c>
      <c r="D41" s="31" t="n">
        <v>-250</v>
      </c>
      <c r="E41" s="31" t="n">
        <v>-250</v>
      </c>
      <c r="F41" s="31" t="n">
        <v>-250</v>
      </c>
      <c r="G41" s="31" t="n">
        <v>-250</v>
      </c>
      <c r="J41" s="13" t="inlineStr">
        <is>
          <t>FY2026A non-operating income was +$3,547m, but $2,811m of that was one-time investment gains (Ampere, Bloom warrants). No repeat is assumed.</t>
        </is>
      </c>
    </row>
    <row r="42">
      <c r="A42" s="6" t="inlineStr">
        <is>
          <t>PRETAX INCOME</t>
        </is>
      </c>
      <c r="C42" s="32">
        <f>C35+C39+C40+C41</f>
        <v/>
      </c>
      <c r="D42" s="32">
        <f>D35+D39+D40+D41</f>
        <v/>
      </c>
      <c r="E42" s="32">
        <f>E35+E39+E40+E41</f>
        <v/>
      </c>
      <c r="F42" s="32">
        <f>F35+F39+F40+F41</f>
        <v/>
      </c>
      <c r="G42" s="32">
        <f>G35+G39+G40+G41</f>
        <v/>
      </c>
    </row>
    <row r="43">
      <c r="A43" s="2" t="inlineStr">
        <is>
          <t>Provision for income taxes</t>
        </is>
      </c>
      <c r="C43" s="40">
        <f>-C42*Inputs!C$69</f>
        <v/>
      </c>
      <c r="D43" s="40">
        <f>-D42*Inputs!D$69</f>
        <v/>
      </c>
      <c r="E43" s="40">
        <f>-E42*Inputs!E$69</f>
        <v/>
      </c>
      <c r="F43" s="40">
        <f>-F42*Inputs!F$69</f>
        <v/>
      </c>
      <c r="G43" s="40">
        <f>-G42*Inputs!G$69</f>
        <v/>
      </c>
      <c r="J43" s="13" t="inlineStr">
        <is>
          <t>FY2026A effective rate 12.6%, which included a $2,062m stock-compensation windfall benefit (10-K R80). At $151.94 versus a $345.72 52-week high, that benefit does not repeat.</t>
        </is>
      </c>
    </row>
    <row r="44">
      <c r="A44" s="6" t="inlineStr">
        <is>
          <t>NET INCOME</t>
        </is>
      </c>
      <c r="C44" s="32">
        <f>C42+C43</f>
        <v/>
      </c>
      <c r="D44" s="32">
        <f>D42+D43</f>
        <v/>
      </c>
      <c r="E44" s="32">
        <f>E42+E43</f>
        <v/>
      </c>
      <c r="F44" s="32">
        <f>F42+F43</f>
        <v/>
      </c>
      <c r="G44" s="32">
        <f>G42+G43</f>
        <v/>
      </c>
    </row>
    <row r="45">
      <c r="A45" s="2" t="inlineStr">
        <is>
          <t>Preferred dividends</t>
        </is>
      </c>
      <c r="C45" s="34">
        <f>-Debt_Shares!C27</f>
        <v/>
      </c>
      <c r="D45" s="34">
        <f>-Debt_Shares!D27</f>
        <v/>
      </c>
      <c r="E45" s="34">
        <f>-Debt_Shares!E27</f>
        <v/>
      </c>
      <c r="F45" s="34">
        <f>-Debt_Shares!F27</f>
        <v/>
      </c>
      <c r="G45" s="34">
        <f>-Debt_Shares!G27</f>
        <v/>
      </c>
    </row>
    <row r="46">
      <c r="A46" s="6" t="inlineStr">
        <is>
          <t>NET INCOME AVAILABLE TO COMMON</t>
        </is>
      </c>
      <c r="C46" s="32">
        <f>C44+C45</f>
        <v/>
      </c>
      <c r="D46" s="32">
        <f>D44+D45</f>
        <v/>
      </c>
      <c r="E46" s="32">
        <f>E44+E45</f>
        <v/>
      </c>
      <c r="F46" s="32">
        <f>F44+F45</f>
        <v/>
      </c>
      <c r="G46" s="32">
        <f>G44+G45</f>
        <v/>
      </c>
    </row>
    <row r="47">
      <c r="A47" s="2" t="inlineStr">
        <is>
          <t>Diluted shares (m)</t>
        </is>
      </c>
      <c r="C47" s="41">
        <f>Debt_Shares!C25</f>
        <v/>
      </c>
      <c r="D47" s="41">
        <f>Debt_Shares!D25</f>
        <v/>
      </c>
      <c r="E47" s="41">
        <f>Debt_Shares!E25</f>
        <v/>
      </c>
      <c r="F47" s="41">
        <f>Debt_Shares!F25</f>
        <v/>
      </c>
      <c r="G47" s="41">
        <f>Debt_Shares!G25</f>
        <v/>
      </c>
    </row>
    <row r="48">
      <c r="A48" s="6" t="inlineStr">
        <is>
          <t>GAAP DILUTED EPS</t>
        </is>
      </c>
      <c r="C48" s="21">
        <f>C46/C47</f>
        <v/>
      </c>
      <c r="D48" s="21">
        <f>D46/D47</f>
        <v/>
      </c>
      <c r="E48" s="21">
        <f>E46/E47</f>
        <v/>
      </c>
      <c r="F48" s="21">
        <f>F46/F47</f>
        <v/>
      </c>
      <c r="G48" s="21">
        <f>G46/G47</f>
        <v/>
      </c>
      <c r="J48" s="13" t="inlineStr">
        <is>
          <t>FY2026A $5.83.</t>
        </is>
      </c>
    </row>
    <row r="49">
      <c r="A49" s="2" t="inlineStr">
        <is>
          <t>EBITDA (GAAP op income + D&amp;A)</t>
        </is>
      </c>
      <c r="C49" s="32">
        <f>C35+Capex_Depreciation!C35+C33</f>
        <v/>
      </c>
      <c r="D49" s="32">
        <f>D35+Capex_Depreciation!D35+D33</f>
        <v/>
      </c>
      <c r="E49" s="32">
        <f>E35+Capex_Depreciation!E35+E33</f>
        <v/>
      </c>
      <c r="F49" s="32">
        <f>F35+Capex_Depreciation!F35+F33</f>
        <v/>
      </c>
      <c r="G49" s="32">
        <f>G35+Capex_Depreciation!G35+G33</f>
        <v/>
      </c>
      <c r="J49" s="13" t="inlineStr">
        <is>
          <t>FY2026A $29,900m.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78" customWidth="1" min="10" max="10"/>
  </cols>
  <sheetData>
    <row r="1">
      <c r="A1" s="1" t="inlineStr">
        <is>
          <t>GAAP &lt;-&gt; NON-GAAP RECONCILIATION</t>
        </is>
      </c>
    </row>
    <row r="2">
      <c r="A2" s="38" t="inlineStr">
        <is>
          <t>Oracle excludes SBC, intangible amortisation and restructuring — and RE-TAXES the result at a HIGHER rate than its GAAP effective rate. That tax wedge is a real part of why non-GAAP EPS growth lags revenue growth.</t>
        </is>
      </c>
    </row>
    <row r="4">
      <c r="A4" s="8" t="inlineStr">
        <is>
          <t>$ millions</t>
        </is>
      </c>
      <c r="B4" s="9" t="inlineStr">
        <is>
          <t>FY2026A</t>
        </is>
      </c>
      <c r="C4" s="9" t="inlineStr">
        <is>
          <t>FY2027E</t>
        </is>
      </c>
      <c r="D4" s="9" t="inlineStr">
        <is>
          <t>FY2028E</t>
        </is>
      </c>
      <c r="E4" s="9" t="inlineStr">
        <is>
          <t>FY2029E</t>
        </is>
      </c>
      <c r="F4" s="9" t="inlineStr">
        <is>
          <t>FY2030E</t>
        </is>
      </c>
      <c r="G4" s="9" t="inlineStr">
        <is>
          <t>FY2031E</t>
        </is>
      </c>
      <c r="H4" s="9" t="inlineStr"/>
      <c r="I4" s="9" t="inlineStr"/>
      <c r="J4" s="9" t="inlineStr">
        <is>
          <t>Note</t>
        </is>
      </c>
    </row>
    <row r="5">
      <c r="B5" s="6" t="inlineStr">
        <is>
          <t>GAAP</t>
        </is>
      </c>
      <c r="C5" s="6" t="inlineStr">
        <is>
          <t>Adjustment</t>
        </is>
      </c>
      <c r="D5" s="6" t="inlineStr">
        <is>
          <t>Non-GAAP</t>
        </is>
      </c>
    </row>
    <row r="6">
      <c r="A6" s="10" t="inlineStr">
        <is>
          <t>FY2026 ACTUAL BRIDGE (press release Ex-99.1, verbatim)</t>
        </is>
      </c>
      <c r="B6" s="11" t="n"/>
      <c r="C6" s="11" t="n"/>
      <c r="D6" s="11" t="n"/>
      <c r="E6" s="11" t="n"/>
      <c r="F6" s="11" t="n"/>
      <c r="G6" s="11" t="n"/>
      <c r="H6" s="11" t="n"/>
    </row>
    <row r="7">
      <c r="A7" s="2" t="inlineStr">
        <is>
          <t>Total operating expenses</t>
        </is>
      </c>
      <c r="B7" s="31" t="n">
        <v>46751</v>
      </c>
      <c r="C7" s="31" t="n">
        <v>-8320</v>
      </c>
      <c r="D7" s="31" t="n">
        <v>38431</v>
      </c>
      <c r="J7" s="13" t="inlineStr">
        <is>
          <t>Add-backs: SBC $4,811m + intangible amortisation $1,671m + restructuring $1,838m = $8,320m.</t>
        </is>
      </c>
    </row>
    <row r="8">
      <c r="A8" s="2" t="inlineStr">
        <is>
          <t>Operating income</t>
        </is>
      </c>
      <c r="B8" s="31" t="n">
        <v>20606</v>
      </c>
      <c r="C8" s="31" t="n">
        <v>8320</v>
      </c>
      <c r="D8" s="31" t="n">
        <v>28926</v>
      </c>
      <c r="J8" s="13" t="inlineStr">
        <is>
          <t>GAAP margin 31%, non-GAAP margin 43%.</t>
        </is>
      </c>
    </row>
    <row r="9">
      <c r="A9" s="2" t="inlineStr">
        <is>
          <t>Provision for income taxes</t>
        </is>
      </c>
      <c r="B9" s="31" t="n">
        <v>2467</v>
      </c>
      <c r="C9" s="31" t="n">
        <v>3070</v>
      </c>
      <c r="D9" s="31" t="n">
        <v>5537</v>
      </c>
      <c r="J9" s="13" t="inlineStr">
        <is>
          <t>GAAP effective rate 12.6%; non-GAAP effective rate 19.9%. The non-GAAP rate is HIGHER.</t>
        </is>
      </c>
    </row>
    <row r="10">
      <c r="A10" s="2" t="inlineStr">
        <is>
          <t>Net income</t>
        </is>
      </c>
      <c r="B10" s="31" t="n">
        <v>17087</v>
      </c>
      <c r="C10" s="31" t="n">
        <v>5250</v>
      </c>
      <c r="D10" s="31" t="n">
        <v>22337</v>
      </c>
    </row>
    <row r="11">
      <c r="A11" s="2" t="inlineStr">
        <is>
          <t>Net income available to common</t>
        </is>
      </c>
      <c r="B11" s="31" t="n">
        <v>16984</v>
      </c>
      <c r="C11" s="31" t="n">
        <v>5250</v>
      </c>
      <c r="D11" s="31" t="n">
        <v>22234</v>
      </c>
    </row>
    <row r="12">
      <c r="A12" s="6" t="inlineStr">
        <is>
          <t>Diluted EPS</t>
        </is>
      </c>
      <c r="B12" s="30" t="n">
        <v>5.83</v>
      </c>
      <c r="C12" s="30" t="n">
        <v>1.8</v>
      </c>
      <c r="D12" s="30" t="n">
        <v>7.63</v>
      </c>
      <c r="J12" s="38" t="inlineStr">
        <is>
          <t>Diluted share count is IDENTICAL on both bases: 2,914m.</t>
        </is>
      </c>
    </row>
    <row r="13">
      <c r="A13" s="6" t="inlineStr">
        <is>
          <t>Non-GAAP EPS excluding one-time investment gains</t>
        </is>
      </c>
      <c r="D13" s="42" t="n">
        <v>6.83</v>
      </c>
      <c r="J13" s="13" t="inlineStr">
        <is>
          <t>DISCLOSED: press release footnote 1 — the $7.63 headline includes gains on the Ampere sale and Bloom Energy warrants. $6.83 is the clean base, and it is the base management itself uses for the "+18%" FY27 growth claim.</t>
        </is>
      </c>
    </row>
    <row r="15">
      <c r="A15" s="10" t="inlineStr">
        <is>
          <t>FORECAST BRIDGE</t>
        </is>
      </c>
      <c r="B15" s="11" t="n"/>
      <c r="C15" s="11" t="n"/>
      <c r="D15" s="11" t="n"/>
      <c r="E15" s="11" t="n"/>
      <c r="F15" s="11" t="n"/>
      <c r="G15" s="11" t="n"/>
      <c r="H15" s="11" t="n"/>
    </row>
    <row r="16">
      <c r="A16" s="2" t="inlineStr">
        <is>
          <t>GAAP operating income</t>
        </is>
      </c>
      <c r="C16" s="34">
        <f>Income_Statement!C35</f>
        <v/>
      </c>
      <c r="D16" s="34">
        <f>Income_Statement!D35</f>
        <v/>
      </c>
      <c r="E16" s="34">
        <f>Income_Statement!E35</f>
        <v/>
      </c>
      <c r="F16" s="34">
        <f>Income_Statement!F35</f>
        <v/>
      </c>
      <c r="G16" s="34">
        <f>Income_Statement!G35</f>
        <v/>
      </c>
    </row>
    <row r="17">
      <c r="A17" s="2" t="inlineStr">
        <is>
          <t>+ Stock-based compensation</t>
        </is>
      </c>
      <c r="C17" s="32">
        <f>Historicals!D34*(1+Inputs!C$41)</f>
        <v/>
      </c>
      <c r="D17" s="32">
        <f>C17*(1+Inputs!D$41)</f>
        <v/>
      </c>
      <c r="E17" s="32">
        <f>D17*(1+Inputs!E$41)</f>
        <v/>
      </c>
      <c r="F17" s="32">
        <f>E17*(1+Inputs!F$41)</f>
        <v/>
      </c>
      <c r="G17" s="32">
        <f>F17*(1+Inputs!G$41)</f>
        <v/>
      </c>
      <c r="J17" s="13" t="inlineStr">
        <is>
          <t>FY2026A $4,811m.</t>
        </is>
      </c>
    </row>
    <row r="18">
      <c r="A18" s="2" t="inlineStr">
        <is>
          <t>+ Amortisation of intangible assets</t>
        </is>
      </c>
      <c r="C18" s="34">
        <f>Income_Statement!C33</f>
        <v/>
      </c>
      <c r="D18" s="34">
        <f>Income_Statement!D33</f>
        <v/>
      </c>
      <c r="E18" s="34">
        <f>Income_Statement!E33</f>
        <v/>
      </c>
      <c r="F18" s="34">
        <f>Income_Statement!F33</f>
        <v/>
      </c>
      <c r="G18" s="34">
        <f>Income_Statement!G33</f>
        <v/>
      </c>
    </row>
    <row r="19">
      <c r="A19" s="2" t="inlineStr">
        <is>
          <t>+ Restructuring, other and impairment</t>
        </is>
      </c>
      <c r="C19" s="34">
        <f>Income_Statement!C34</f>
        <v/>
      </c>
      <c r="D19" s="34">
        <f>Income_Statement!D34</f>
        <v/>
      </c>
      <c r="E19" s="34">
        <f>Income_Statement!E34</f>
        <v/>
      </c>
      <c r="F19" s="34">
        <f>Income_Statement!F34</f>
        <v/>
      </c>
      <c r="G19" s="34">
        <f>Income_Statement!G34</f>
        <v/>
      </c>
      <c r="J19" s="13" t="inlineStr">
        <is>
          <t>In the bear case the asset write-downs land HERE — inside the very line Oracle excludes. Non-GAAP EPS barely moves while GAAP EPS collapses.</t>
        </is>
      </c>
    </row>
    <row r="20">
      <c r="A20" s="6" t="inlineStr">
        <is>
          <t>NON-GAAP OPERATING INCOME</t>
        </is>
      </c>
      <c r="C20" s="32">
        <f>C16+C17+C18+C19</f>
        <v/>
      </c>
      <c r="D20" s="32">
        <f>D16+D17+D18+D19</f>
        <v/>
      </c>
      <c r="E20" s="32">
        <f>E16+E17+E18+E19</f>
        <v/>
      </c>
      <c r="F20" s="32">
        <f>F16+F17+F18+F19</f>
        <v/>
      </c>
      <c r="G20" s="32">
        <f>G16+G17+G18+G19</f>
        <v/>
      </c>
    </row>
    <row r="21">
      <c r="A21" s="2" t="inlineStr">
        <is>
          <t xml:space="preserve">  non-GAAP operating margin</t>
        </is>
      </c>
      <c r="C21" s="14">
        <f>C20/Income_Statement!C13</f>
        <v/>
      </c>
      <c r="D21" s="14">
        <f>D20/Income_Statement!D13</f>
        <v/>
      </c>
      <c r="E21" s="14">
        <f>E20/Income_Statement!E13</f>
        <v/>
      </c>
      <c r="F21" s="14">
        <f>F20/Income_Statement!F13</f>
        <v/>
      </c>
      <c r="G21" s="14">
        <f>G20/Income_Statement!G13</f>
        <v/>
      </c>
    </row>
    <row r="22">
      <c r="A22" s="2" t="inlineStr">
        <is>
          <t>Non-GAAP pretax income</t>
        </is>
      </c>
      <c r="C22" s="32">
        <f>Income_Statement!C42+C17+C18+C19</f>
        <v/>
      </c>
      <c r="D22" s="32">
        <f>Income_Statement!D42+D17+D18+D19</f>
        <v/>
      </c>
      <c r="E22" s="32">
        <f>Income_Statement!E42+E17+E18+E19</f>
        <v/>
      </c>
      <c r="F22" s="32">
        <f>Income_Statement!F42+F17+F18+F19</f>
        <v/>
      </c>
      <c r="G22" s="32">
        <f>Income_Statement!G42+G17+G18+G19</f>
        <v/>
      </c>
    </row>
    <row r="23">
      <c r="A23" s="2" t="inlineStr">
        <is>
          <t>Non-GAAP tax</t>
        </is>
      </c>
      <c r="C23" s="32">
        <f>-C22*Inputs!C$70</f>
        <v/>
      </c>
      <c r="D23" s="32">
        <f>-D22*Inputs!D$70</f>
        <v/>
      </c>
      <c r="E23" s="32">
        <f>-E22*Inputs!E$70</f>
        <v/>
      </c>
      <c r="F23" s="32">
        <f>-F22*Inputs!F$70</f>
        <v/>
      </c>
      <c r="G23" s="32">
        <f>-G22*Inputs!G$70</f>
        <v/>
      </c>
      <c r="J23" s="13" t="inlineStr">
        <is>
          <t>FY2026A 19.9%, ABOVE the 12.6% GAAP rate.</t>
        </is>
      </c>
    </row>
    <row r="24">
      <c r="A24" s="2" t="inlineStr">
        <is>
          <t>Non-GAAP net income</t>
        </is>
      </c>
      <c r="C24" s="32">
        <f>C22+C23</f>
        <v/>
      </c>
      <c r="D24" s="32">
        <f>D22+D23</f>
        <v/>
      </c>
      <c r="E24" s="32">
        <f>E22+E23</f>
        <v/>
      </c>
      <c r="F24" s="32">
        <f>F22+F23</f>
        <v/>
      </c>
      <c r="G24" s="32">
        <f>G22+G23</f>
        <v/>
      </c>
    </row>
    <row r="25">
      <c r="A25" s="2" t="inlineStr">
        <is>
          <t>Less preferred dividends</t>
        </is>
      </c>
      <c r="C25" s="34">
        <f>Income_Statement!C45</f>
        <v/>
      </c>
      <c r="D25" s="34">
        <f>Income_Statement!D45</f>
        <v/>
      </c>
      <c r="E25" s="34">
        <f>Income_Statement!E45</f>
        <v/>
      </c>
      <c r="F25" s="34">
        <f>Income_Statement!F45</f>
        <v/>
      </c>
      <c r="G25" s="34">
        <f>Income_Statement!G45</f>
        <v/>
      </c>
    </row>
    <row r="26">
      <c r="A26" s="6" t="inlineStr">
        <is>
          <t>NON-GAAP EPS</t>
        </is>
      </c>
      <c r="C26" s="21">
        <f>(C24+C25)/Income_Statement!C47</f>
        <v/>
      </c>
      <c r="D26" s="21">
        <f>(D24+D25)/Income_Statement!D47</f>
        <v/>
      </c>
      <c r="E26" s="21">
        <f>(E24+E25)/Income_Statement!E47</f>
        <v/>
      </c>
      <c r="F26" s="21">
        <f>(F24+F25)/Income_Statement!F47</f>
        <v/>
      </c>
      <c r="G26" s="21">
        <f>(G24+G25)/Income_Statement!G47</f>
        <v/>
      </c>
    </row>
    <row r="27">
      <c r="A27" s="2" t="inlineStr">
        <is>
          <t>MEMO: FY2027 non-GAAP EPS GUIDANCE</t>
        </is>
      </c>
      <c r="C27" s="30" t="n">
        <v>8.050000000000001</v>
      </c>
      <c r="D27" s="30" t="inlineStr"/>
      <c r="E27" s="30" t="inlineStr"/>
      <c r="F27" s="30" t="inlineStr"/>
      <c r="G27" s="30" t="inlineStr"/>
      <c r="J27" s="13" t="inlineStr">
        <is>
          <t>DISCLOSED: press release 6/10/2026 — "raise our non-GAAP EPS guidance to $8.05". Guidance, not consensus.</t>
        </is>
      </c>
    </row>
    <row r="28">
      <c r="A28" s="2" t="inlineStr">
        <is>
          <t>MEMO: FY2027 consensus non-GAAP EPS</t>
        </is>
      </c>
      <c r="C28" s="30" t="n">
        <v>8.050000000000001</v>
      </c>
      <c r="D28" s="30" t="inlineStr"/>
      <c r="E28" s="30" t="inlineStr"/>
      <c r="F28" s="30" t="inlineStr"/>
      <c r="G28" s="30" t="inlineStr"/>
      <c r="J28" s="13" t="inlineStr">
        <is>
          <t>stockanalysis.com, 42 analysts: low $7.72 / avg $8.05 / high $8.57. Consensus sits ON guidance — that is herding, not conviction.</t>
        </is>
      </c>
    </row>
    <row r="29">
      <c r="A29" s="2" t="inlineStr">
        <is>
          <t>GAAP EPS (memo)</t>
        </is>
      </c>
      <c r="C29" s="43">
        <f>Income_Statement!C48</f>
        <v/>
      </c>
      <c r="D29" s="43">
        <f>Income_Statement!D48</f>
        <v/>
      </c>
      <c r="E29" s="43">
        <f>Income_Statement!E48</f>
        <v/>
      </c>
      <c r="F29" s="43">
        <f>Income_Statement!F48</f>
        <v/>
      </c>
      <c r="G29" s="43">
        <f>Income_Statement!G48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78" customWidth="1" min="10" max="10"/>
  </cols>
  <sheetData>
    <row r="1">
      <c r="A1" s="1" t="inlineStr">
        <is>
          <t>CASH FLOW — and the three different "capex" numbers</t>
        </is>
      </c>
    </row>
    <row r="2">
      <c r="A2" s="38" t="inlineStr">
        <is>
          <t>The cash statement, not the income statement, is the headline output. FY2026A: OCF $31,977m, capex $(55,663)m, FCF $(23,686)m — Oracle's own published figure.</t>
        </is>
      </c>
    </row>
    <row r="4">
      <c r="A4" s="8" t="inlineStr">
        <is>
          <t>$ millions</t>
        </is>
      </c>
      <c r="B4" s="9" t="inlineStr"/>
      <c r="C4" s="9" t="inlineStr">
        <is>
          <t>FY2027E</t>
        </is>
      </c>
      <c r="D4" s="9" t="inlineStr">
        <is>
          <t>FY2028E</t>
        </is>
      </c>
      <c r="E4" s="9" t="inlineStr">
        <is>
          <t>FY2029E</t>
        </is>
      </c>
      <c r="F4" s="9" t="inlineStr">
        <is>
          <t>FY2030E</t>
        </is>
      </c>
      <c r="G4" s="9" t="inlineStr">
        <is>
          <t>FY2031E</t>
        </is>
      </c>
      <c r="H4" s="9" t="inlineStr"/>
      <c r="I4" s="9" t="inlineStr"/>
      <c r="J4" s="9" t="inlineStr">
        <is>
          <t>Note</t>
        </is>
      </c>
    </row>
    <row r="6">
      <c r="A6" s="10" t="inlineStr">
        <is>
          <t>OPERATING</t>
        </is>
      </c>
      <c r="B6" s="11" t="n"/>
      <c r="C6" s="11" t="n"/>
      <c r="D6" s="11" t="n"/>
      <c r="E6" s="11" t="n"/>
      <c r="F6" s="11" t="n"/>
      <c r="G6" s="11" t="n"/>
      <c r="H6" s="11" t="n"/>
    </row>
    <row r="7">
      <c r="A7" s="2" t="inlineStr">
        <is>
          <t>Net income</t>
        </is>
      </c>
      <c r="C7" s="34">
        <f>Income_Statement!C44</f>
        <v/>
      </c>
      <c r="D7" s="34">
        <f>Income_Statement!D44</f>
        <v/>
      </c>
      <c r="E7" s="34">
        <f>Income_Statement!E44</f>
        <v/>
      </c>
      <c r="F7" s="34">
        <f>Income_Statement!F44</f>
        <v/>
      </c>
      <c r="G7" s="34">
        <f>Income_Statement!G44</f>
        <v/>
      </c>
    </row>
    <row r="8">
      <c r="A8" s="2" t="inlineStr">
        <is>
          <t>+ Depreciation</t>
        </is>
      </c>
      <c r="C8" s="34">
        <f>Capex_Depreciation!C35</f>
        <v/>
      </c>
      <c r="D8" s="34">
        <f>Capex_Depreciation!D35</f>
        <v/>
      </c>
      <c r="E8" s="34">
        <f>Capex_Depreciation!E35</f>
        <v/>
      </c>
      <c r="F8" s="34">
        <f>Capex_Depreciation!F35</f>
        <v/>
      </c>
      <c r="G8" s="34">
        <f>Capex_Depreciation!G35</f>
        <v/>
      </c>
    </row>
    <row r="9">
      <c r="A9" s="2" t="inlineStr">
        <is>
          <t>+ Amortisation of intangible assets</t>
        </is>
      </c>
      <c r="C9" s="34">
        <f>Income_Statement!C33</f>
        <v/>
      </c>
      <c r="D9" s="34">
        <f>Income_Statement!D33</f>
        <v/>
      </c>
      <c r="E9" s="34">
        <f>Income_Statement!E33</f>
        <v/>
      </c>
      <c r="F9" s="34">
        <f>Income_Statement!F33</f>
        <v/>
      </c>
      <c r="G9" s="34">
        <f>Income_Statement!G33</f>
        <v/>
      </c>
    </row>
    <row r="10">
      <c r="A10" s="2" t="inlineStr">
        <is>
          <t>+ Stock-based compensation</t>
        </is>
      </c>
      <c r="C10" s="34">
        <f>NonGAAP_Recon!C17</f>
        <v/>
      </c>
      <c r="D10" s="34">
        <f>NonGAAP_Recon!D17</f>
        <v/>
      </c>
      <c r="E10" s="34">
        <f>NonGAAP_Recon!E17</f>
        <v/>
      </c>
      <c r="F10" s="34">
        <f>NonGAAP_Recon!F17</f>
        <v/>
      </c>
      <c r="G10" s="34">
        <f>NonGAAP_Recon!G17</f>
        <v/>
      </c>
    </row>
    <row r="11">
      <c r="A11" s="2" t="inlineStr">
        <is>
          <t>+ Asset impairment (non-cash)</t>
        </is>
      </c>
      <c r="C11" s="34">
        <f>Inputs!C$43</f>
        <v/>
      </c>
      <c r="D11" s="34">
        <f>Inputs!D$43</f>
        <v/>
      </c>
      <c r="E11" s="34">
        <f>Inputs!E$43</f>
        <v/>
      </c>
      <c r="F11" s="34">
        <f>Inputs!F$43</f>
        <v/>
      </c>
      <c r="G11" s="34">
        <f>Inputs!G$43</f>
        <v/>
      </c>
    </row>
    <row r="12">
      <c r="A12" s="2" t="inlineStr">
        <is>
          <t>- Increase in net working capital</t>
        </is>
      </c>
      <c r="C12" s="32">
        <f>-(Income_Statement!C13-Historicals!D13)*Inputs!$B$77</f>
        <v/>
      </c>
      <c r="D12" s="32">
        <f>-(Income_Statement!D13-Income_Statement!C13)*Inputs!$B$77</f>
        <v/>
      </c>
      <c r="E12" s="32">
        <f>-(Income_Statement!E13-Income_Statement!D13)*Inputs!$B$77</f>
        <v/>
      </c>
      <c r="F12" s="32">
        <f>-(Income_Statement!F13-Income_Statement!E13)*Inputs!$B$77</f>
        <v/>
      </c>
      <c r="G12" s="32">
        <f>-(Income_Statement!G13-Income_Statement!F13)*Inputs!$B$77</f>
        <v/>
      </c>
    </row>
    <row r="13">
      <c r="A13" s="2" t="inlineStr">
        <is>
          <t>+ Customer prepayments</t>
        </is>
      </c>
      <c r="C13" s="34">
        <f>Inputs!C$75</f>
        <v/>
      </c>
      <c r="D13" s="34">
        <f>Inputs!D$75</f>
        <v/>
      </c>
      <c r="E13" s="34">
        <f>Inputs!E$75</f>
        <v/>
      </c>
      <c r="F13" s="34">
        <f>Inputs!F$75</f>
        <v/>
      </c>
      <c r="G13" s="34">
        <f>Inputs!G$75</f>
        <v/>
      </c>
      <c r="J13" s="13" t="inlineStr">
        <is>
          <t>FY2026A $4,592m — a brand-new line in the FY26 cash flow statement (10-K R8). These are prepayments with a significant financing component on AI contracts, i.e. customers funding Oracle's buildout.</t>
        </is>
      </c>
    </row>
    <row r="14">
      <c r="A14" s="6" t="inlineStr">
        <is>
          <t>OPERATING CASH FLOW</t>
        </is>
      </c>
      <c r="C14" s="32">
        <f>SUM(C7:C13)</f>
        <v/>
      </c>
      <c r="D14" s="32">
        <f>SUM(D7:D13)</f>
        <v/>
      </c>
      <c r="E14" s="32">
        <f>SUM(E7:E13)</f>
        <v/>
      </c>
      <c r="F14" s="32">
        <f>SUM(F7:F13)</f>
        <v/>
      </c>
      <c r="G14" s="32">
        <f>SUM(G7:G13)</f>
        <v/>
      </c>
      <c r="J14" s="13" t="inlineStr">
        <is>
          <t>FY2026A $31,977m, +54%.</t>
        </is>
      </c>
    </row>
    <row r="16">
      <c r="A16" s="10" t="inlineStr">
        <is>
          <t>THE THREE CAPEX DEFINITIONS — pin this down before quoting any cash-flow gap</t>
        </is>
      </c>
      <c r="B16" s="11" t="n"/>
      <c r="C16" s="11" t="n"/>
      <c r="D16" s="11" t="n"/>
      <c r="E16" s="11" t="n"/>
      <c r="F16" s="11" t="n"/>
      <c r="G16" s="11" t="n"/>
      <c r="H16" s="11" t="n"/>
    </row>
    <row r="17">
      <c r="A17" s="2" t="inlineStr">
        <is>
          <t>(1) Capital expenditures, as reported</t>
        </is>
      </c>
      <c r="C17" s="34">
        <f>-Capex_Depreciation!C23</f>
        <v/>
      </c>
      <c r="D17" s="34">
        <f>-Capex_Depreciation!D23</f>
        <v/>
      </c>
      <c r="E17" s="34">
        <f>-Capex_Depreciation!E23</f>
        <v/>
      </c>
      <c r="F17" s="34">
        <f>-Capex_Depreciation!F23</f>
        <v/>
      </c>
      <c r="G17" s="34">
        <f>-Capex_Depreciation!G23</f>
        <v/>
      </c>
      <c r="J17" s="13" t="inlineStr">
        <is>
          <t>The GAAP cash-flow-statement line. FY2026A $(55,663)m.</t>
        </is>
      </c>
    </row>
    <row r="18">
      <c r="A18" s="2" t="inlineStr">
        <is>
          <t xml:space="preserve">      add back: short-term financing related to capex</t>
        </is>
      </c>
      <c r="C18" s="34">
        <f>Inputs!C$76</f>
        <v/>
      </c>
      <c r="D18" s="34">
        <f>Inputs!D$76</f>
        <v/>
      </c>
      <c r="E18" s="34">
        <f>Inputs!E$76</f>
        <v/>
      </c>
      <c r="F18" s="34">
        <f>Inputs!F$76</f>
        <v/>
      </c>
      <c r="G18" s="34">
        <f>Inputs!G$76</f>
        <v/>
      </c>
      <c r="J18" s="13" t="inlineStr">
        <is>
          <t>FY2026A $3,345m, reported inside FINANCING activities (10-K R8).</t>
        </is>
      </c>
    </row>
    <row r="19">
      <c r="A19" s="2" t="inlineStr">
        <is>
          <t xml:space="preserve">      add back: customer prepayments for capex</t>
        </is>
      </c>
      <c r="C19" s="34">
        <f>Inputs!C$75</f>
        <v/>
      </c>
      <c r="D19" s="34">
        <f>Inputs!D$75</f>
        <v/>
      </c>
      <c r="E19" s="34">
        <f>Inputs!E$75</f>
        <v/>
      </c>
      <c r="F19" s="34">
        <f>Inputs!F$75</f>
        <v/>
      </c>
      <c r="G19" s="34">
        <f>Inputs!G$75</f>
        <v/>
      </c>
      <c r="J19" s="13" t="inlineStr">
        <is>
          <t>FY2026A $4,592m, reported inside OPERATING activities.</t>
        </is>
      </c>
    </row>
    <row r="20">
      <c r="A20" s="2" t="inlineStr">
        <is>
          <t>(2) Net cash outlay for capex (Oracle non-GAAP)</t>
        </is>
      </c>
      <c r="C20" s="40">
        <f>C17+C18+C19</f>
        <v/>
      </c>
      <c r="D20" s="40">
        <f>D17+D18+D19</f>
        <v/>
      </c>
      <c r="E20" s="40">
        <f>E17+E18+E19</f>
        <v/>
      </c>
      <c r="F20" s="40">
        <f>F17+F18+F19</f>
        <v/>
      </c>
      <c r="G20" s="40">
        <f>G17+G18+G19</f>
        <v/>
      </c>
      <c r="J20" s="13" t="inlineStr">
        <is>
          <t>ORACLE'S OWN DEFINITION, press release Ex-99.1. FY2026A $(47,726)m. NOTE: consensus shows FY2027E free cash flow of $(47.73)bn — numerically IDENTICAL to Oracle's FY2026 ACTUAL net capex outlay. Treat that coincidence as a data-quality warning.</t>
        </is>
      </c>
    </row>
    <row r="21">
      <c r="A21" s="2" t="inlineStr">
        <is>
          <t>(3) Economic capex incl. change in unpaid capex</t>
        </is>
      </c>
      <c r="C21" s="32">
        <f>C17</f>
        <v/>
      </c>
      <c r="D21" s="32">
        <f>D17</f>
        <v/>
      </c>
      <c r="E21" s="32">
        <f>E17</f>
        <v/>
      </c>
      <c r="F21" s="32">
        <f>F17</f>
        <v/>
      </c>
      <c r="G21" s="32">
        <f>G17</f>
        <v/>
      </c>
      <c r="J21" s="13" t="inlineStr">
        <is>
          <t>FY2026A: $(55,663)m cash + $5,279m unpaid at year end less $2,970m at prior year end = $(57,972)m economic. Not forecast here.</t>
        </is>
      </c>
    </row>
    <row r="22">
      <c r="A22" s="6" t="inlineStr">
        <is>
          <t>FREE CASH FLOW (OCF less reported capex)</t>
        </is>
      </c>
      <c r="C22" s="32">
        <f>C14+C17</f>
        <v/>
      </c>
      <c r="D22" s="32">
        <f>D14+D17</f>
        <v/>
      </c>
      <c r="E22" s="32">
        <f>E14+E17</f>
        <v/>
      </c>
      <c r="F22" s="32">
        <f>F14+F17</f>
        <v/>
      </c>
      <c r="G22" s="32">
        <f>G14+G17</f>
        <v/>
      </c>
      <c r="J22" s="13" t="inlineStr">
        <is>
          <t>FY2026A $(23,686)m — this is the number Oracle itself publishes.</t>
        </is>
      </c>
    </row>
    <row r="23">
      <c r="A23" s="6" t="inlineStr">
        <is>
          <t>FREE CASH FLOW (on Oracle's net-capex definition)</t>
        </is>
      </c>
      <c r="C23" s="32">
        <f>C14-C19+C20</f>
        <v/>
      </c>
      <c r="D23" s="32">
        <f>D14-D19+D20</f>
        <v/>
      </c>
      <c r="E23" s="32">
        <f>E14-E19+E20</f>
        <v/>
      </c>
      <c r="F23" s="32">
        <f>F14-F19+F20</f>
        <v/>
      </c>
      <c r="G23" s="32">
        <f>G14-G19+G20</f>
        <v/>
      </c>
    </row>
    <row r="24">
      <c r="A24" s="2" t="inlineStr">
        <is>
          <t xml:space="preserve">  FCF margin</t>
        </is>
      </c>
      <c r="C24" s="14">
        <f>C22/Income_Statement!C13</f>
        <v/>
      </c>
      <c r="D24" s="14">
        <f>D22/Income_Statement!D13</f>
        <v/>
      </c>
      <c r="E24" s="14">
        <f>E22/Income_Statement!E13</f>
        <v/>
      </c>
      <c r="F24" s="14">
        <f>F22/Income_Statement!F13</f>
        <v/>
      </c>
      <c r="G24" s="14">
        <f>G22/Income_Statement!G13</f>
        <v/>
      </c>
    </row>
    <row r="26">
      <c r="A26" s="10" t="inlineStr">
        <is>
          <t>FINANCING AND THE FUNDING PLUG</t>
        </is>
      </c>
      <c r="B26" s="11" t="n"/>
      <c r="C26" s="11" t="n"/>
      <c r="D26" s="11" t="n"/>
      <c r="E26" s="11" t="n"/>
      <c r="F26" s="11" t="n"/>
      <c r="G26" s="11" t="n"/>
      <c r="H26" s="11" t="n"/>
    </row>
    <row r="27">
      <c r="A27" s="2" t="inlineStr">
        <is>
          <t>Common dividends</t>
        </is>
      </c>
      <c r="C27" s="32">
        <f>-Inputs!C$71*Debt_Shares!C26</f>
        <v/>
      </c>
      <c r="D27" s="32">
        <f>-Inputs!D$71*Debt_Shares!D26</f>
        <v/>
      </c>
      <c r="E27" s="32">
        <f>-Inputs!E$71*Debt_Shares!E26</f>
        <v/>
      </c>
      <c r="F27" s="32">
        <f>-Inputs!F$71*Debt_Shares!F26</f>
        <v/>
      </c>
      <c r="G27" s="32">
        <f>-Inputs!G$71*Debt_Shares!G26</f>
        <v/>
      </c>
      <c r="J27" s="13" t="inlineStr">
        <is>
          <t>DISCLOSED: $0.50/qtr declared 6/10/26 — FLAT versus FY26. After 12 consecutive years of growth, dividend growth has stopped.</t>
        </is>
      </c>
    </row>
    <row r="28">
      <c r="A28" s="2" t="inlineStr">
        <is>
          <t>Preferred dividends</t>
        </is>
      </c>
      <c r="C28" s="34">
        <f>-Debt_Shares!C27</f>
        <v/>
      </c>
      <c r="D28" s="34">
        <f>-Debt_Shares!D27</f>
        <v/>
      </c>
      <c r="E28" s="34">
        <f>-Debt_Shares!E27</f>
        <v/>
      </c>
      <c r="F28" s="34">
        <f>-Debt_Shares!F27</f>
        <v/>
      </c>
      <c r="G28" s="34">
        <f>-Debt_Shares!G27</f>
        <v/>
      </c>
    </row>
    <row r="29">
      <c r="A29" s="2" t="inlineStr">
        <is>
          <t>Scheduled debt repayments</t>
        </is>
      </c>
      <c r="C29" s="34">
        <f>Debt_Shares!C8</f>
        <v/>
      </c>
      <c r="D29" s="34">
        <f>Debt_Shares!D8</f>
        <v/>
      </c>
      <c r="E29" s="34">
        <f>Debt_Shares!E8</f>
        <v/>
      </c>
      <c r="F29" s="34">
        <f>Debt_Shares!F8</f>
        <v/>
      </c>
      <c r="G29" s="34">
        <f>Debt_Shares!G8</f>
        <v/>
      </c>
    </row>
    <row r="30">
      <c r="A30" s="2" t="inlineStr">
        <is>
          <t>Equity issuance (ATM)</t>
        </is>
      </c>
      <c r="C30" s="34">
        <f>Inputs!C$67</f>
        <v/>
      </c>
      <c r="D30" s="34">
        <f>Inputs!D$67</f>
        <v/>
      </c>
      <c r="E30" s="34">
        <f>Inputs!E$67</f>
        <v/>
      </c>
      <c r="F30" s="34">
        <f>Inputs!F$67</f>
        <v/>
      </c>
      <c r="G30" s="34">
        <f>Inputs!G$67</f>
        <v/>
      </c>
    </row>
    <row r="31">
      <c r="A31" s="2" t="inlineStr">
        <is>
          <t>Short-term financing related to capex</t>
        </is>
      </c>
      <c r="C31" s="34">
        <f>Inputs!C$76</f>
        <v/>
      </c>
      <c r="D31" s="34">
        <f>Inputs!D$76</f>
        <v/>
      </c>
      <c r="E31" s="34">
        <f>Inputs!E$76</f>
        <v/>
      </c>
      <c r="F31" s="34">
        <f>Inputs!F$76</f>
        <v/>
      </c>
      <c r="G31" s="34">
        <f>Inputs!G$76</f>
        <v/>
      </c>
    </row>
    <row r="32">
      <c r="A32" s="2" t="inlineStr">
        <is>
          <t>Target cash cushion build</t>
        </is>
      </c>
      <c r="C32" s="31" t="n">
        <v>3000</v>
      </c>
      <c r="D32" s="31" t="n">
        <v>3000</v>
      </c>
      <c r="E32" s="31" t="n">
        <v>3000</v>
      </c>
      <c r="F32" s="31" t="n">
        <v>3000</v>
      </c>
      <c r="G32" s="31" t="n">
        <v>3000</v>
      </c>
    </row>
    <row r="33">
      <c r="A33" s="6" t="inlineStr">
        <is>
          <t>FUNDING NEED (= new debt required)</t>
        </is>
      </c>
      <c r="C33" s="32">
        <f>-(C14+C17+C27+C28+C29+C30+C31)+C32</f>
        <v/>
      </c>
      <c r="D33" s="32">
        <f>-(D14+D17+D27+D28+D29+D30+D31)+D32</f>
        <v/>
      </c>
      <c r="E33" s="32">
        <f>-(E14+E17+E27+E28+E29+E30+E31)+E32</f>
        <v/>
      </c>
      <c r="F33" s="32">
        <f>-(F14+F17+F27+F28+F29+F30+F31)+F32</f>
        <v/>
      </c>
      <c r="G33" s="32">
        <f>-(G14+G17+G27+G28+G29+G30+G31)+G32</f>
        <v/>
      </c>
      <c r="J33" s="13" t="inlineStr">
        <is>
          <t>Drives the new-debt plug on Debt_Shares.</t>
        </is>
      </c>
    </row>
    <row r="34">
      <c r="A34" s="2" t="inlineStr">
        <is>
          <t>New debt issued</t>
        </is>
      </c>
      <c r="C34" s="34">
        <f>Debt_Shares!C12</f>
        <v/>
      </c>
      <c r="D34" s="34">
        <f>Debt_Shares!D12</f>
        <v/>
      </c>
      <c r="E34" s="34">
        <f>Debt_Shares!E12</f>
        <v/>
      </c>
      <c r="F34" s="34">
        <f>Debt_Shares!F12</f>
        <v/>
      </c>
      <c r="G34" s="34">
        <f>Debt_Shares!G12</f>
        <v/>
      </c>
    </row>
    <row r="35">
      <c r="A35" s="2" t="inlineStr">
        <is>
          <t>Cash, opening</t>
        </is>
      </c>
      <c r="C35" s="32">
        <f>Inputs!$B$79</f>
        <v/>
      </c>
      <c r="D35" s="32">
        <f>C36</f>
        <v/>
      </c>
      <c r="E35" s="32">
        <f>D36</f>
        <v/>
      </c>
      <c r="F35" s="32">
        <f>E36</f>
        <v/>
      </c>
      <c r="G35" s="32">
        <f>F36</f>
        <v/>
      </c>
    </row>
    <row r="36">
      <c r="A36" s="6" t="inlineStr">
        <is>
          <t>CASH, CLOSING</t>
        </is>
      </c>
      <c r="C36" s="32">
        <f>C35+C14+C17+C27+C28+C29+C30+C31+C34</f>
        <v/>
      </c>
      <c r="D36" s="32">
        <f>D35+D14+D17+D27+D28+D29+D30+D31+D34</f>
        <v/>
      </c>
      <c r="E36" s="32">
        <f>E35+E14+E17+E27+E28+E29+E30+E31+E34</f>
        <v/>
      </c>
      <c r="F36" s="32">
        <f>F35+F14+F17+F27+F28+F29+F30+F31+F34</f>
        <v/>
      </c>
      <c r="G36" s="32">
        <f>G35+G14+G17+G27+G28+G29+G30+G31+G34</f>
        <v/>
      </c>
    </row>
    <row r="38">
      <c r="A38" s="10" t="inlineStr">
        <is>
          <t>CREDIT METRICS</t>
        </is>
      </c>
      <c r="B38" s="11" t="n"/>
      <c r="C38" s="11" t="n"/>
      <c r="D38" s="11" t="n"/>
      <c r="E38" s="11" t="n"/>
      <c r="F38" s="11" t="n"/>
      <c r="G38" s="11" t="n"/>
      <c r="H38" s="11" t="n"/>
    </row>
    <row r="39">
      <c r="A39" s="2" t="inlineStr">
        <is>
          <t>Net debt</t>
        </is>
      </c>
      <c r="C39" s="34">
        <f>Debt_Shares!C16</f>
        <v/>
      </c>
      <c r="D39" s="34">
        <f>Debt_Shares!D16</f>
        <v/>
      </c>
      <c r="E39" s="34">
        <f>Debt_Shares!E16</f>
        <v/>
      </c>
      <c r="F39" s="34">
        <f>Debt_Shares!F16</f>
        <v/>
      </c>
      <c r="G39" s="34">
        <f>Debt_Shares!G16</f>
        <v/>
      </c>
    </row>
    <row r="40">
      <c r="A40" s="2" t="inlineStr">
        <is>
          <t>Net debt / EBITDA</t>
        </is>
      </c>
      <c r="C40" s="44">
        <f>Debt_Shares!C16/Income_Statement!C49</f>
        <v/>
      </c>
      <c r="D40" s="44">
        <f>Debt_Shares!D16/Income_Statement!D49</f>
        <v/>
      </c>
      <c r="E40" s="44">
        <f>Debt_Shares!E16/Income_Statement!E49</f>
        <v/>
      </c>
      <c r="F40" s="44">
        <f>Debt_Shares!F16/Income_Statement!F49</f>
        <v/>
      </c>
      <c r="G40" s="44">
        <f>Debt_Shares!G16/Income_Statement!G49</f>
        <v/>
      </c>
      <c r="J40" s="13" t="inlineStr">
        <is>
          <t>S&amp;P cut Oracle to BBB- on 7/9/2026 (UNVERIFIED SECONDARY — from the user brief, not confirmed at source).</t>
        </is>
      </c>
    </row>
    <row r="41">
      <c r="A41" s="2" t="inlineStr">
        <is>
          <t>EBITDA / net interest expense</t>
        </is>
      </c>
      <c r="C41" s="45">
        <f>IFERROR(Income_Statement!C49/(Debt_Shares!C11-Debt_Shares!C17),"n/m")</f>
        <v/>
      </c>
      <c r="D41" s="45">
        <f>IFERROR(Income_Statement!D49/(Debt_Shares!D11-Debt_Shares!D17),"n/m")</f>
        <v/>
      </c>
      <c r="E41" s="45">
        <f>IFERROR(Income_Statement!E49/(Debt_Shares!E11-Debt_Shares!E17),"n/m")</f>
        <v/>
      </c>
      <c r="F41" s="45">
        <f>IFERROR(Income_Statement!F49/(Debt_Shares!F11-Debt_Shares!F17),"n/m")</f>
        <v/>
      </c>
      <c r="G41" s="45">
        <f>IFERROR(Income_Statement!G49/(Debt_Shares!G11-Debt_Shares!G17),"n/m")</f>
        <v/>
      </c>
      <c r="J41" s="13" t="inlineStr">
        <is>
          <t>The revolving credit agreement carries a consolidated EBITDA / consolidated net interest expense covenant of 3.0x (10-K R58).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showGridLines="0"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78" customWidth="1" min="10" max="10"/>
  </cols>
  <sheetData>
    <row r="1">
      <c r="A1" s="1" t="inlineStr">
        <is>
          <t>DEBT SCHEDULE, INTEREST, AND SHARE COUNT</t>
        </is>
      </c>
    </row>
    <row r="2">
      <c r="A2" s="38" t="inlineStr">
        <is>
          <t>Interest is charged on OPENING balances only, which removes the circular reference. See Formula_Audit for the size of that simplification.</t>
        </is>
      </c>
    </row>
    <row r="4">
      <c r="A4" s="8" t="inlineStr">
        <is>
          <t>$ millions</t>
        </is>
      </c>
      <c r="B4" s="9" t="inlineStr"/>
      <c r="C4" s="9" t="inlineStr">
        <is>
          <t>FY2027E</t>
        </is>
      </c>
      <c r="D4" s="9" t="inlineStr">
        <is>
          <t>FY2028E</t>
        </is>
      </c>
      <c r="E4" s="9" t="inlineStr">
        <is>
          <t>FY2029E</t>
        </is>
      </c>
      <c r="F4" s="9" t="inlineStr">
        <is>
          <t>FY2030E</t>
        </is>
      </c>
      <c r="G4" s="9" t="inlineStr">
        <is>
          <t>FY2031E</t>
        </is>
      </c>
      <c r="H4" s="9" t="inlineStr"/>
      <c r="I4" s="9" t="inlineStr"/>
      <c r="J4" s="9" t="inlineStr">
        <is>
          <t>Note</t>
        </is>
      </c>
    </row>
    <row r="6">
      <c r="A6" s="10" t="inlineStr">
        <is>
          <t>DEBT</t>
        </is>
      </c>
      <c r="B6" s="11" t="n"/>
      <c r="C6" s="11" t="n"/>
      <c r="D6" s="11" t="n"/>
      <c r="E6" s="11" t="n"/>
      <c r="F6" s="11" t="n"/>
      <c r="G6" s="11" t="n"/>
      <c r="H6" s="11" t="n"/>
    </row>
    <row r="7">
      <c r="A7" s="2" t="inlineStr">
        <is>
          <t>Total debt, opening</t>
        </is>
      </c>
      <c r="C7" s="32">
        <f>Inputs!$B$78</f>
        <v/>
      </c>
      <c r="D7" s="32">
        <f>C14</f>
        <v/>
      </c>
      <c r="E7" s="32">
        <f>D14</f>
        <v/>
      </c>
      <c r="F7" s="32">
        <f>E14</f>
        <v/>
      </c>
      <c r="G7" s="32">
        <f>F14</f>
        <v/>
      </c>
      <c r="J7" s="13" t="inlineStr">
        <is>
          <t>10-K R2: $7,199m current + $122,342m non-current.</t>
        </is>
      </c>
    </row>
    <row r="8">
      <c r="A8" s="2" t="inlineStr">
        <is>
          <t>Scheduled maturities</t>
        </is>
      </c>
      <c r="C8" s="34">
        <f>-Inputs!C$80</f>
        <v/>
      </c>
      <c r="D8" s="34">
        <f>-Inputs!D$80</f>
        <v/>
      </c>
      <c r="E8" s="34">
        <f>-Inputs!E$80</f>
        <v/>
      </c>
      <c r="F8" s="34">
        <f>-Inputs!F$80</f>
        <v/>
      </c>
      <c r="G8" s="34">
        <f>-Inputs!G$80</f>
        <v/>
      </c>
      <c r="J8" s="13" t="inlineStr">
        <is>
          <t>DISCLOSED in full: 10-K R57.</t>
        </is>
      </c>
    </row>
    <row r="9">
      <c r="A9" s="2" t="inlineStr">
        <is>
          <t>Cumulative new debt, opening</t>
        </is>
      </c>
      <c r="C9" s="32" t="n">
        <v>0</v>
      </c>
      <c r="D9" s="32">
        <f>C13</f>
        <v/>
      </c>
      <c r="E9" s="32">
        <f>D13</f>
        <v/>
      </c>
      <c r="F9" s="32">
        <f>E13</f>
        <v/>
      </c>
      <c r="G9" s="32">
        <f>F13</f>
        <v/>
      </c>
    </row>
    <row r="10">
      <c r="A10" s="2" t="inlineStr">
        <is>
          <t>Estimated new debt this year (used only to charge interest)</t>
        </is>
      </c>
      <c r="C10" s="32">
        <f>MAX(0,Capex_Depreciation!C23+Inputs!C$80+Inputs!C$71*C26+3000-(Income_Statement!C36*(1-Inputs!C$69)+Capex_Depreciation!C35+Income_Statement!C34+NonGAAP_Recon!C18+Cash_Flow!C12+Inputs!C$75)-Inputs!C$67-Inputs!C$76)</f>
        <v/>
      </c>
      <c r="D10" s="32">
        <f>MAX(0,Capex_Depreciation!D23+Inputs!D$80+Inputs!D$71*D26+3000-(Income_Statement!D36*(1-Inputs!D$69)+Capex_Depreciation!D35+Income_Statement!D34+NonGAAP_Recon!D18+Cash_Flow!D12+Inputs!D$75)-Inputs!D$67-Inputs!D$76)</f>
        <v/>
      </c>
      <c r="E10" s="32">
        <f>MAX(0,Capex_Depreciation!E23+Inputs!E$80+Inputs!E$71*E26+3000-(Income_Statement!E36*(1-Inputs!E$69)+Capex_Depreciation!E35+Income_Statement!E34+NonGAAP_Recon!E18+Cash_Flow!E12+Inputs!E$75)-Inputs!E$67-Inputs!E$76)</f>
        <v/>
      </c>
      <c r="F10" s="32">
        <f>MAX(0,Capex_Depreciation!F23+Inputs!F$80+Inputs!F$71*F26+3000-(Income_Statement!F36*(1-Inputs!F$69)+Capex_Depreciation!F35+Income_Statement!F34+NonGAAP_Recon!F18+Cash_Flow!F12+Inputs!F$75)-Inputs!F$67-Inputs!F$76)</f>
        <v/>
      </c>
      <c r="G10" s="32">
        <f>MAX(0,Capex_Depreciation!G23+Inputs!G$80+Inputs!G$71*G26+3000-(Income_Statement!G36*(1-Inputs!G$69)+Capex_Depreciation!G35+Income_Statement!G34+NonGAAP_Recon!G18+Cash_Flow!G12+Inputs!G$75)-Inputs!G$67-Inputs!G$76)</f>
        <v/>
      </c>
      <c r="J10" s="38" t="inlineStr">
        <is>
          <t>Sized off OPERATING income rather than net income, so it does not depend on the interest it is used to compute. That keeps the workbook free of circular references while still charging a half-year of interest on the year's own issuance.</t>
        </is>
      </c>
    </row>
    <row r="11">
      <c r="A11" s="2" t="inlineStr">
        <is>
          <t>Interest expense</t>
        </is>
      </c>
      <c r="C11" s="32">
        <f>(C7-C9)*Inputs!$B$65+C9*Inputs!$B$64+C10*Inputs!$B$64*0.5</f>
        <v/>
      </c>
      <c r="D11" s="32">
        <f>(D7-D9)*Inputs!$B$65+D9*Inputs!$B$64+D10*Inputs!$B$64*0.5</f>
        <v/>
      </c>
      <c r="E11" s="32">
        <f>(E7-E9)*Inputs!$B$65+E9*Inputs!$B$64+E10*Inputs!$B$64*0.5</f>
        <v/>
      </c>
      <c r="F11" s="32">
        <f>(F7-F9)*Inputs!$B$65+F9*Inputs!$B$64+F10*Inputs!$B$64*0.5</f>
        <v/>
      </c>
      <c r="G11" s="32">
        <f>(G7-G9)*Inputs!$B$65+G9*Inputs!$B$64+G10*Inputs!$B$64*0.5</f>
        <v/>
      </c>
      <c r="J11" s="13" t="inlineStr">
        <is>
          <t>FY2026A $4,599m. New debt raised during a year first bears interest in the following year.</t>
        </is>
      </c>
    </row>
    <row r="12">
      <c r="A12" s="2" t="inlineStr">
        <is>
          <t>New debt issued (plug)</t>
        </is>
      </c>
      <c r="C12" s="32">
        <f>MAX(0,Cash_Flow!C33)</f>
        <v/>
      </c>
      <c r="D12" s="32">
        <f>MAX(0,Cash_Flow!D33)</f>
        <v/>
      </c>
      <c r="E12" s="32">
        <f>MAX(0,Cash_Flow!E33)</f>
        <v/>
      </c>
      <c r="F12" s="32">
        <f>MAX(0,Cash_Flow!F33)</f>
        <v/>
      </c>
      <c r="G12" s="32">
        <f>MAX(0,Cash_Flow!G33)</f>
        <v/>
      </c>
    </row>
    <row r="13">
      <c r="A13" s="2" t="inlineStr">
        <is>
          <t>Cumulative new debt, closing</t>
        </is>
      </c>
      <c r="C13" s="32">
        <f>C9+C12</f>
        <v/>
      </c>
      <c r="D13" s="32">
        <f>D9+D12</f>
        <v/>
      </c>
      <c r="E13" s="32">
        <f>E9+E12</f>
        <v/>
      </c>
      <c r="F13" s="32">
        <f>F9+F12</f>
        <v/>
      </c>
      <c r="G13" s="32">
        <f>G9+G12</f>
        <v/>
      </c>
    </row>
    <row r="14">
      <c r="A14" s="6" t="inlineStr">
        <is>
          <t>TOTAL DEBT, CLOSING</t>
        </is>
      </c>
      <c r="C14" s="32">
        <f>C7+C8+C12</f>
        <v/>
      </c>
      <c r="D14" s="32">
        <f>D7+D8+D12</f>
        <v/>
      </c>
      <c r="E14" s="32">
        <f>E7+E8+E12</f>
        <v/>
      </c>
      <c r="F14" s="32">
        <f>F7+F8+F12</f>
        <v/>
      </c>
      <c r="G14" s="32">
        <f>G7+G8+G12</f>
        <v/>
      </c>
    </row>
    <row r="15">
      <c r="A15" s="2" t="inlineStr">
        <is>
          <t>Cash &amp; marketable securities, closing</t>
        </is>
      </c>
      <c r="C15" s="34">
        <f>Cash_Flow!C36</f>
        <v/>
      </c>
      <c r="D15" s="34">
        <f>Cash_Flow!D36</f>
        <v/>
      </c>
      <c r="E15" s="34">
        <f>Cash_Flow!E36</f>
        <v/>
      </c>
      <c r="F15" s="34">
        <f>Cash_Flow!F36</f>
        <v/>
      </c>
      <c r="G15" s="34">
        <f>Cash_Flow!G36</f>
        <v/>
      </c>
    </row>
    <row r="16">
      <c r="A16" s="6" t="inlineStr">
        <is>
          <t>NET DEBT</t>
        </is>
      </c>
      <c r="C16" s="32">
        <f>C14-C15</f>
        <v/>
      </c>
      <c r="D16" s="32">
        <f>D14-D15</f>
        <v/>
      </c>
      <c r="E16" s="32">
        <f>E14-E15</f>
        <v/>
      </c>
      <c r="F16" s="32">
        <f>F14-F15</f>
        <v/>
      </c>
      <c r="G16" s="32">
        <f>G14-G15</f>
        <v/>
      </c>
    </row>
    <row r="17">
      <c r="A17" s="2" t="inlineStr">
        <is>
          <t>Interest income</t>
        </is>
      </c>
      <c r="C17" s="32">
        <f>Inputs!$B$79*Inputs!$B$66</f>
        <v/>
      </c>
      <c r="D17" s="32">
        <f>Cash_Flow!C36*Inputs!$B$66</f>
        <v/>
      </c>
      <c r="E17" s="32">
        <f>Cash_Flow!D36*Inputs!$B$66</f>
        <v/>
      </c>
      <c r="F17" s="32">
        <f>Cash_Flow!E36*Inputs!$B$66</f>
        <v/>
      </c>
      <c r="G17" s="32">
        <f>Cash_Flow!F36*Inputs!$B$66</f>
        <v/>
      </c>
      <c r="J17" s="13" t="inlineStr">
        <is>
          <t>Charged on OPENING cash. This is the second circularity break: interest income on closing cash would depend on the cash flow it helps produce.</t>
        </is>
      </c>
    </row>
    <row r="19">
      <c r="A19" s="10" t="inlineStr">
        <is>
          <t>SHARE COUNT</t>
        </is>
      </c>
      <c r="B19" s="11" t="n"/>
      <c r="C19" s="11" t="n"/>
      <c r="D19" s="11" t="n"/>
      <c r="E19" s="11" t="n"/>
      <c r="F19" s="11" t="n"/>
      <c r="G19" s="11" t="n"/>
      <c r="H19" s="11" t="n"/>
    </row>
    <row r="20">
      <c r="A20" s="2" t="inlineStr">
        <is>
          <t>Diluted shares, opening (m)</t>
        </is>
      </c>
      <c r="C20" s="12" t="n">
        <v>2914</v>
      </c>
      <c r="D20" s="12">
        <f>C25</f>
        <v/>
      </c>
      <c r="E20" s="12">
        <f>D25</f>
        <v/>
      </c>
      <c r="F20" s="12">
        <f>E25</f>
        <v/>
      </c>
      <c r="G20" s="12">
        <f>F25</f>
        <v/>
      </c>
      <c r="J20" s="13" t="inlineStr">
        <is>
          <t>FY2026A diluted weighted-average, 10-K EPS note (R91). NOT the cover-page count of 2,880.471m.</t>
        </is>
      </c>
    </row>
    <row r="21">
      <c r="A21" s="2" t="inlineStr">
        <is>
          <t>Net dilution from stock awards</t>
        </is>
      </c>
      <c r="C21" s="12">
        <f>C20*Inputs!$B$72</f>
        <v/>
      </c>
      <c r="D21" s="12">
        <f>D20*Inputs!$B$72</f>
        <v/>
      </c>
      <c r="E21" s="12">
        <f>E20*Inputs!$B$72</f>
        <v/>
      </c>
      <c r="F21" s="12">
        <f>F20*Inputs!$B$72</f>
        <v/>
      </c>
      <c r="G21" s="12">
        <f>G20*Inputs!$B$72</f>
        <v/>
      </c>
      <c r="J21" s="13" t="inlineStr">
        <is>
          <t>DISCLOSED: 10-K MD&amp;A — cumulative potential dilution since 6/1/2023 has run at 1.0% p.a.</t>
        </is>
      </c>
    </row>
    <row r="22">
      <c r="A22" s="2" t="inlineStr">
        <is>
          <t>Shares issued under the $20bn ATM</t>
        </is>
      </c>
      <c r="C22" s="17">
        <f>Inputs!C$67/MAX(1,Inputs!C$68)*0.5</f>
        <v/>
      </c>
      <c r="D22" s="17">
        <f>Inputs!D$67/MAX(1,Inputs!D$68)*1</f>
        <v/>
      </c>
      <c r="E22" s="17">
        <f>Inputs!E$67/MAX(1,Inputs!E$68)*1</f>
        <v/>
      </c>
      <c r="F22" s="17">
        <f>Inputs!F$67/MAX(1,Inputs!F$68)*1</f>
        <v/>
      </c>
      <c r="G22" s="17">
        <f>Inputs!G$67/MAX(1,Inputs!G$68)*1</f>
        <v/>
      </c>
      <c r="J22" s="13" t="inlineStr">
        <is>
          <t>DISCLOSED: $20bn ATM entered 2/2/2026, ZERO drawn at 5/31/26 (10-K R70). At $151.94 a full $20bn draw is ~132m shares — four times the mandatory convertible. THIS, not the preferred, is the share-count story.</t>
        </is>
      </c>
    </row>
    <row r="23">
      <c r="A23" s="2" t="inlineStr">
        <is>
          <t>Mandatory convertible conversion</t>
        </is>
      </c>
      <c r="C23" s="12" t="n">
        <v>0</v>
      </c>
      <c r="D23" s="12" t="n">
        <v>0</v>
      </c>
      <c r="E23" s="12">
        <f>Inputs!$B$73*4.5/12</f>
        <v/>
      </c>
      <c r="F23" s="12">
        <f>Inputs!$B$73</f>
        <v/>
      </c>
      <c r="G23" s="12">
        <f>Inputs!$B$73</f>
        <v/>
      </c>
      <c r="J23" s="13" t="inlineStr">
        <is>
          <t>DISCLOSED: converts 1/15/2029 (10-K Note 10) — 4.5 of FY29's 12 months. At $151.94, below the $160.06 lower conversion price, the MAXIMUM ratio of 624.7657 applies: 31.2m shares.</t>
        </is>
      </c>
    </row>
    <row r="24">
      <c r="A24" s="2" t="inlineStr">
        <is>
          <t>Buybacks</t>
        </is>
      </c>
      <c r="C24" s="25" t="n">
        <v>0</v>
      </c>
      <c r="D24" s="25" t="n">
        <v>0</v>
      </c>
      <c r="E24" s="25" t="n">
        <v>0</v>
      </c>
      <c r="F24" s="25" t="n">
        <v>0</v>
      </c>
      <c r="G24" s="25" t="n">
        <v>0</v>
      </c>
      <c r="J24" s="13" t="inlineStr">
        <is>
          <t>FY2026A repurchases were $95m — 0.4m shares. Buybacks have effectively stopped; $6.3bn of authorisation remains unused (10-K R70).</t>
        </is>
      </c>
    </row>
    <row r="25">
      <c r="A25" s="6" t="inlineStr">
        <is>
          <t>DILUTED SHARES, CLOSING (m)</t>
        </is>
      </c>
      <c r="C25" s="12">
        <f>C20+C21+C22+C23-C24</f>
        <v/>
      </c>
      <c r="D25" s="12">
        <f>D20+D21+D22+D23-D24</f>
        <v/>
      </c>
      <c r="E25" s="12">
        <f>E20+E21+E22+E23-E24</f>
        <v/>
      </c>
      <c r="F25" s="12">
        <f>F20+F21+F22+F23-F24</f>
        <v/>
      </c>
      <c r="G25" s="12">
        <f>G20+G21+G22+G23-G24</f>
        <v/>
      </c>
    </row>
    <row r="26">
      <c r="A26" s="2" t="inlineStr">
        <is>
          <t>Basic shares (memo)</t>
        </is>
      </c>
      <c r="C26" s="12">
        <f>C25-55</f>
        <v/>
      </c>
      <c r="D26" s="12">
        <f>D25-55</f>
        <v/>
      </c>
      <c r="E26" s="12">
        <f>E25-55</f>
        <v/>
      </c>
      <c r="F26" s="12">
        <f>F25-55</f>
        <v/>
      </c>
      <c r="G26" s="12">
        <f>G25-55</f>
        <v/>
      </c>
      <c r="J26" s="13" t="inlineStr">
        <is>
          <t>FY26A gap between basic (2,860m) and diluted (2,914m) was 54m.</t>
        </is>
      </c>
    </row>
    <row r="27">
      <c r="A27" s="2" t="inlineStr">
        <is>
          <t>Preferred dividends</t>
        </is>
      </c>
      <c r="C27" s="32">
        <f>Inputs!$B$74</f>
        <v/>
      </c>
      <c r="D27" s="32">
        <f>Inputs!$B$74</f>
        <v/>
      </c>
      <c r="E27" s="32">
        <f>Inputs!$B$74*7.5/12</f>
        <v/>
      </c>
      <c r="F27" s="32" t="n">
        <v>0</v>
      </c>
      <c r="G27" s="32" t="n">
        <v>0</v>
      </c>
      <c r="J27" s="13" t="inlineStr">
        <is>
          <t>6.50% on $5.0bn face = $325m p.a., ceasing on conversion.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8"/>
  <sheetViews>
    <sheetView showGridLines="0" workbookViewId="0">
      <selection activeCell="A1" sqref="A1"/>
    </sheetView>
  </sheetViews>
  <sheetFormatPr baseColWidth="8" defaultRowHeight="15"/>
  <cols>
    <col width="5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76" customWidth="1" min="14" max="14"/>
  </cols>
  <sheetData>
    <row r="1">
      <c r="A1" s="1" t="inlineStr">
        <is>
          <t>PRIMARY VALUATION — contract-level NPV of the $638bn backlog</t>
        </is>
      </c>
    </row>
    <row r="2">
      <c r="A2" s="38" t="inlineStr">
        <is>
          <t>No renewal assumed. This isolates what the CONTRACTED book is worth, so the residual against the share price is the part that requires business not yet signed.</t>
        </is>
      </c>
    </row>
    <row r="4">
      <c r="A4" s="46" t="inlineStr">
        <is>
          <t>$ millions</t>
        </is>
      </c>
      <c r="B4" s="47" t="inlineStr"/>
      <c r="C4" s="9" t="inlineStr">
        <is>
          <t>FY2027E</t>
        </is>
      </c>
      <c r="D4" s="9" t="inlineStr">
        <is>
          <t>FY2028E</t>
        </is>
      </c>
      <c r="E4" s="9" t="inlineStr">
        <is>
          <t>FY2029E</t>
        </is>
      </c>
      <c r="F4" s="9" t="inlineStr">
        <is>
          <t>FY2030E</t>
        </is>
      </c>
      <c r="G4" s="9" t="inlineStr">
        <is>
          <t>FY2031E</t>
        </is>
      </c>
      <c r="H4" s="9" t="inlineStr">
        <is>
          <t>FY2032E</t>
        </is>
      </c>
      <c r="I4" s="9" t="inlineStr">
        <is>
          <t>FY2033E</t>
        </is>
      </c>
      <c r="J4" s="9" t="inlineStr">
        <is>
          <t>FY2034E</t>
        </is>
      </c>
      <c r="K4" s="9" t="inlineStr">
        <is>
          <t>FY2035E</t>
        </is>
      </c>
      <c r="L4" s="9" t="inlineStr">
        <is>
          <t>FY2036E</t>
        </is>
      </c>
    </row>
    <row r="6">
      <c r="A6" s="10" t="inlineStr">
        <is>
          <t>ASSUMPTIONS — these do NOT switch with the Inputs scenario selector; set them from the reference table below</t>
        </is>
      </c>
      <c r="B6" s="11" t="n"/>
      <c r="C6" s="11" t="n"/>
      <c r="D6" s="11" t="n"/>
      <c r="E6" s="11" t="n"/>
      <c r="F6" s="11" t="n"/>
      <c r="G6" s="11" t="n"/>
      <c r="H6" s="11" t="n"/>
      <c r="I6" s="11" t="n"/>
      <c r="J6" s="11" t="n"/>
      <c r="K6" s="11" t="n"/>
      <c r="L6" s="11" t="n"/>
    </row>
    <row r="7">
      <c r="A7" s="2" t="inlineStr">
        <is>
          <t>Backlog EBITDA margin</t>
        </is>
      </c>
      <c r="C7" s="33" t="n">
        <v>0.36</v>
      </c>
      <c r="D7" s="33" t="n">
        <v>0.42</v>
      </c>
      <c r="E7" s="33" t="n">
        <v>0.46</v>
      </c>
      <c r="F7" s="33" t="n">
        <v>0.49</v>
      </c>
      <c r="G7" s="33" t="n">
        <v>0.51</v>
      </c>
      <c r="H7" s="33" t="n">
        <v>0.52</v>
      </c>
      <c r="I7" s="33" t="n">
        <v>0.52</v>
      </c>
      <c r="J7" s="33" t="n">
        <v>0.52</v>
      </c>
      <c r="K7" s="33" t="n">
        <v>0.52</v>
      </c>
      <c r="L7" s="33" t="n">
        <v>0.52</v>
      </c>
      <c r="N7" s="13" t="inlineStr">
        <is>
          <t>KEY LEVER. Oracle does not disclose OCI-level cost structure, so this is an analyst construct.</t>
        </is>
      </c>
    </row>
    <row r="8">
      <c r="A8" s="2" t="inlineStr">
        <is>
          <t>Effective asset turn</t>
        </is>
      </c>
      <c r="C8" s="48" t="n">
        <v>0.36</v>
      </c>
      <c r="N8" s="13" t="inlineStr">
        <is>
          <t>KEY LEVER.</t>
        </is>
      </c>
    </row>
    <row r="9">
      <c r="A9" s="2" t="inlineStr">
        <is>
          <t>Capacity funded by customers</t>
        </is>
      </c>
      <c r="C9" s="26" t="n">
        <v>0.22</v>
      </c>
    </row>
    <row r="10">
      <c r="A10" s="2" t="inlineStr">
        <is>
          <t>Maintenance capex, % of depreciation</t>
        </is>
      </c>
      <c r="C10" s="26" t="n">
        <v>0.35</v>
      </c>
    </row>
    <row r="11">
      <c r="A11" s="2" t="inlineStr">
        <is>
          <t>Cash tax rate on backlog EBIT</t>
        </is>
      </c>
      <c r="C11" s="26" t="n">
        <v>0.19</v>
      </c>
    </row>
    <row r="12">
      <c r="A12" s="2" t="inlineStr">
        <is>
          <t>Residual recovery on remaining NBV</t>
        </is>
      </c>
      <c r="C12" s="26" t="n">
        <v>0.75</v>
      </c>
    </row>
    <row r="13">
      <c r="A13" s="2" t="inlineStr">
        <is>
          <t>Shape of the "thereafter" 20%</t>
        </is>
      </c>
      <c r="H13" s="26" t="n">
        <v>0.3</v>
      </c>
      <c r="I13" s="26" t="n">
        <v>0.25</v>
      </c>
      <c r="J13" s="26" t="n">
        <v>0.2</v>
      </c>
      <c r="K13" s="26" t="n">
        <v>0.15</v>
      </c>
      <c r="L13" s="26" t="n">
        <v>0.1</v>
      </c>
    </row>
    <row r="14">
      <c r="A14" s="2" t="inlineStr">
        <is>
          <t>WACC</t>
        </is>
      </c>
      <c r="C14" s="49">
        <f>Inputs!$B$82</f>
        <v/>
      </c>
    </row>
    <row r="15">
      <c r="A15" s="2" t="inlineStr">
        <is>
          <t>Equipment / building / land mix, lives</t>
        </is>
      </c>
      <c r="C15" s="50">
        <f>Inputs!$B$52</f>
        <v/>
      </c>
      <c r="D15" s="50">
        <f>Inputs!$B$53</f>
        <v/>
      </c>
      <c r="E15" s="50">
        <f>Inputs!$B$55</f>
        <v/>
      </c>
      <c r="F15" s="50">
        <f>Inputs!$B$56</f>
        <v/>
      </c>
    </row>
    <row r="17">
      <c r="A17" s="10" t="inlineStr">
        <is>
          <t>BACKLOG CASH FLOWS</t>
        </is>
      </c>
      <c r="B17" s="11" t="n"/>
      <c r="C17" s="11" t="n"/>
      <c r="D17" s="11" t="n"/>
      <c r="E17" s="11" t="n"/>
      <c r="F17" s="11" t="n"/>
      <c r="G17" s="11" t="n"/>
      <c r="H17" s="11" t="n"/>
      <c r="I17" s="11" t="n"/>
      <c r="J17" s="11" t="n"/>
      <c r="K17" s="11" t="n"/>
      <c r="L17" s="11" t="n"/>
    </row>
    <row r="18">
      <c r="A18" s="2" t="inlineStr">
        <is>
          <t>Backlog revenue</t>
        </is>
      </c>
      <c r="C18" s="32">
        <f>RPO_Schedule!C24</f>
        <v/>
      </c>
      <c r="D18" s="32">
        <f>RPO_Schedule!D24</f>
        <v/>
      </c>
      <c r="E18" s="32">
        <f>RPO_Schedule!E24</f>
        <v/>
      </c>
      <c r="F18" s="32">
        <f>RPO_Schedule!F24</f>
        <v/>
      </c>
      <c r="G18" s="32">
        <f>RPO_Schedule!G24</f>
        <v/>
      </c>
      <c r="H18" s="32">
        <f>RPO_Schedule!$B$11*(1-RPO_Schedule!$B$16)*H$13</f>
        <v/>
      </c>
      <c r="I18" s="32">
        <f>RPO_Schedule!$B$11*(1-RPO_Schedule!$B$16)*I$13</f>
        <v/>
      </c>
      <c r="J18" s="32">
        <f>RPO_Schedule!$B$11*(1-RPO_Schedule!$B$16)*J$13</f>
        <v/>
      </c>
      <c r="K18" s="32">
        <f>RPO_Schedule!$B$11*(1-RPO_Schedule!$B$16)*K$13</f>
        <v/>
      </c>
      <c r="L18" s="32">
        <f>RPO_Schedule!$B$11*(1-RPO_Schedule!$B$16)*L$13</f>
        <v/>
      </c>
    </row>
    <row r="19">
      <c r="A19" s="2" t="inlineStr">
        <is>
          <t>Contracted (pre-haircut) revenue</t>
        </is>
      </c>
      <c r="C19" s="32">
        <f>C18/(1-RPO_Schedule!$B$16)</f>
        <v/>
      </c>
      <c r="D19" s="32">
        <f>D18/(1-RPO_Schedule!$B$16)</f>
        <v/>
      </c>
      <c r="E19" s="32">
        <f>E18/(1-RPO_Schedule!$B$16)</f>
        <v/>
      </c>
      <c r="F19" s="32">
        <f>F18/(1-RPO_Schedule!$B$16)</f>
        <v/>
      </c>
      <c r="G19" s="32">
        <f>G18/(1-RPO_Schedule!$B$16)</f>
        <v/>
      </c>
      <c r="H19" s="32">
        <f>H18/(1-RPO_Schedule!$B$16)</f>
        <v/>
      </c>
      <c r="I19" s="32">
        <f>I18/(1-RPO_Schedule!$B$16)</f>
        <v/>
      </c>
      <c r="J19" s="32">
        <f>J18/(1-RPO_Schedule!$B$16)</f>
        <v/>
      </c>
      <c r="K19" s="32">
        <f>K18/(1-RPO_Schedule!$B$16)</f>
        <v/>
      </c>
      <c r="L19" s="32">
        <f>L18/(1-RPO_Schedule!$B$16)</f>
        <v/>
      </c>
      <c r="N19" s="13" t="inlineStr">
        <is>
          <t>Capacity is built to the CONTRACTED schedule. A counterparty failure happens AFTER the capex is sunk — haircutting capex alongside revenue would assume Oracle sees the default coming, and would make counterparty risk look value-accretive.</t>
        </is>
      </c>
    </row>
    <row r="20">
      <c r="A20" s="2" t="inlineStr">
        <is>
          <t>Prior-year contracted revenue</t>
        </is>
      </c>
      <c r="C20" s="32">
        <f>$C$19*0.72</f>
        <v/>
      </c>
      <c r="D20" s="32">
        <f>MAX(C19,C20)</f>
        <v/>
      </c>
      <c r="E20" s="32">
        <f>MAX(D19,D20)</f>
        <v/>
      </c>
      <c r="F20" s="32">
        <f>MAX(E19,E20)</f>
        <v/>
      </c>
      <c r="G20" s="32">
        <f>MAX(F19,F20)</f>
        <v/>
      </c>
      <c r="H20" s="32">
        <f>MAX(G19,G20)</f>
        <v/>
      </c>
      <c r="I20" s="32">
        <f>MAX(H19,H20)</f>
        <v/>
      </c>
      <c r="J20" s="32">
        <f>MAX(I19,I20)</f>
        <v/>
      </c>
      <c r="K20" s="32">
        <f>MAX(J19,J20)</f>
        <v/>
      </c>
      <c r="L20" s="32">
        <f>MAX(K19,K20)</f>
        <v/>
      </c>
      <c r="N20" s="13" t="inlineStr">
        <is>
          <t>FY26 backlog-served revenue, estimated at 72% of the FY27 figure.</t>
        </is>
      </c>
    </row>
    <row r="21">
      <c r="A21" s="2" t="inlineStr">
        <is>
          <t>Growth capex (Oracle-funded)</t>
        </is>
      </c>
      <c r="C21" s="32">
        <f>MAX(0,C19-C20)/$C$8*(1-$C$9)</f>
        <v/>
      </c>
      <c r="D21" s="32">
        <f>MAX(0,D19-D20)/$C$8*(1-$C$9)</f>
        <v/>
      </c>
      <c r="E21" s="32">
        <f>MAX(0,E19-E20)/$C$8*(1-$C$9)</f>
        <v/>
      </c>
      <c r="F21" s="32">
        <f>MAX(0,F19-F20)/$C$8*(1-$C$9)</f>
        <v/>
      </c>
      <c r="G21" s="32">
        <f>MAX(0,G19-G20)/$C$8*(1-$C$9)</f>
        <v/>
      </c>
      <c r="H21" s="32">
        <f>MAX(0,H19-H20)/$C$8*(1-$C$9)</f>
        <v/>
      </c>
      <c r="I21" s="32">
        <f>MAX(0,I19-I20)/$C$8*(1-$C$9)</f>
        <v/>
      </c>
      <c r="J21" s="32">
        <f>MAX(0,J19-J20)/$C$8*(1-$C$9)</f>
        <v/>
      </c>
      <c r="K21" s="32">
        <f>MAX(0,K19-K20)/$C$8*(1-$C$9)</f>
        <v/>
      </c>
      <c r="L21" s="32">
        <f>MAX(0,L19-L20)/$C$8*(1-$C$9)</f>
        <v/>
      </c>
    </row>
    <row r="22">
      <c r="A22" s="2" t="inlineStr">
        <is>
          <t>Depreciation on backlog assets</t>
        </is>
      </c>
      <c r="C22" s="32">
        <f>C$21*($C$15/$E$15+$D$15/$F$15)*0.5</f>
        <v/>
      </c>
      <c r="D22" s="32">
        <f>C$21*($C$15/$E$15+$D$15/$F$15)*1+C$24*($C$15/$E$15+$D$15/$F$15)+D$21*($C$15/$E$15+$D$15/$F$15)*0.5</f>
        <v/>
      </c>
      <c r="E22" s="32">
        <f>C$21*($C$15/$E$15+$D$15/$F$15)*1+C$24*($C$15/$E$15+$D$15/$F$15)+D$21*($C$15/$E$15+$D$15/$F$15)*1+D$24*($C$15/$E$15+$D$15/$F$15)+E$21*($C$15/$E$15+$D$15/$F$15)*0.5</f>
        <v/>
      </c>
      <c r="F22" s="32">
        <f>C$21*($C$15/$E$15+$D$15/$F$15)*1+C$24*($C$15/$E$15+$D$15/$F$15)+D$21*($C$15/$E$15+$D$15/$F$15)*1+D$24*($C$15/$E$15+$D$15/$F$15)+E$21*($C$15/$E$15+$D$15/$F$15)*1+E$24*($C$15/$E$15+$D$15/$F$15)+F$21*($C$15/$E$15+$D$15/$F$15)*0.5</f>
        <v/>
      </c>
      <c r="G22" s="32">
        <f>C$21*($C$15/$E$15+$D$15/$F$15)*1+C$24*($C$15/$E$15+$D$15/$F$15)+D$21*($C$15/$E$15+$D$15/$F$15)*1+D$24*($C$15/$E$15+$D$15/$F$15)+E$21*($C$15/$E$15+$D$15/$F$15)*1+E$24*($C$15/$E$15+$D$15/$F$15)+F$21*($C$15/$E$15+$D$15/$F$15)*1+F$24*($C$15/$E$15+$D$15/$F$15)+G$21*($C$15/$E$15+$D$15/$F$15)*0.5</f>
        <v/>
      </c>
      <c r="H22" s="32">
        <f>C$21*($C$15/$E$15+$D$15/$F$15)*1+C$24*($C$15/$E$15+$D$15/$F$15)+D$21*($C$15/$E$15+$D$15/$F$15)*1+D$24*($C$15/$E$15+$D$15/$F$15)+E$21*($C$15/$E$15+$D$15/$F$15)*1+E$24*($C$15/$E$15+$D$15/$F$15)+F$21*($C$15/$E$15+$D$15/$F$15)*1+F$24*($C$15/$E$15+$D$15/$F$15)+G$21*($C$15/$E$15+$D$15/$F$15)*1+G$24*($C$15/$E$15+$D$15/$F$15)+H$21*($C$15/$E$15+$D$15/$F$15)*0.5</f>
        <v/>
      </c>
      <c r="I22" s="32">
        <f>C$21*($C$15/$E$15+$D$15/$F$15)*1+C$24*($C$15/$E$15+$D$15/$F$15)+D$21*($C$15/$E$15+$D$15/$F$15)*1+D$24*($C$15/$E$15+$D$15/$F$15)+E$21*($C$15/$E$15+$D$15/$F$15)*1+E$24*($C$15/$E$15+$D$15/$F$15)+F$21*($C$15/$E$15+$D$15/$F$15)*1+F$24*($C$15/$E$15+$D$15/$F$15)+G$21*($C$15/$E$15+$D$15/$F$15)*1+G$24*($C$15/$E$15+$D$15/$F$15)+H$21*($C$15/$E$15+$D$15/$F$15)*1+H$24*($C$15/$E$15+$D$15/$F$15)+I$21*($C$15/$E$15+$D$15/$F$15)*0.5</f>
        <v/>
      </c>
      <c r="J22" s="32">
        <f>C$21*($C$15/$E$15+$D$15/$F$15)*1+C$24*($C$15/$E$15+$D$15/$F$15)+D$21*($C$15/$E$15+$D$15/$F$15)*1+D$24*($C$15/$E$15+$D$15/$F$15)+E$21*($C$15/$E$15+$D$15/$F$15)*1+E$24*($C$15/$E$15+$D$15/$F$15)+F$21*($C$15/$E$15+$D$15/$F$15)*1+F$24*($C$15/$E$15+$D$15/$F$15)+G$21*($C$15/$E$15+$D$15/$F$15)*1+G$24*($C$15/$E$15+$D$15/$F$15)+H$21*($C$15/$E$15+$D$15/$F$15)*1+H$24*($C$15/$E$15+$D$15/$F$15)+I$21*($C$15/$E$15+$D$15/$F$15)*1+I$24*($C$15/$E$15+$D$15/$F$15)+J$21*($C$15/$E$15+$D$15/$F$15)*0.5</f>
        <v/>
      </c>
      <c r="K22" s="32">
        <f>C$21*($C$15/$E$15+$D$15/$F$15)*1+C$24*($C$15/$E$15+$D$15/$F$15)+D$21*($C$15/$E$15+$D$15/$F$15)*1+D$24*($C$15/$E$15+$D$15/$F$15)+E$21*($C$15/$E$15+$D$15/$F$15)*1+E$24*($C$15/$E$15+$D$15/$F$15)+F$21*($C$15/$E$15+$D$15/$F$15)*1+F$24*($C$15/$E$15+$D$15/$F$15)+G$21*($C$15/$E$15+$D$15/$F$15)*1+G$24*($C$15/$E$15+$D$15/$F$15)+H$21*($C$15/$E$15+$D$15/$F$15)*1+H$24*($C$15/$E$15+$D$15/$F$15)+I$21*($C$15/$E$15+$D$15/$F$15)*1+I$24*($C$15/$E$15+$D$15/$F$15)+J$21*($C$15/$E$15+$D$15/$F$15)*1+J$24*($C$15/$E$15+$D$15/$F$15)+K$21*($C$15/$E$15+$D$15/$F$15)*0.5</f>
        <v/>
      </c>
      <c r="L22" s="32">
        <f>C$21*($C$15/$E$15+$D$15/$F$15)*1+C$24*($C$15/$E$15+$D$15/$F$15)+D$21*($C$15/$E$15+$D$15/$F$15)*1+D$24*($C$15/$E$15+$D$15/$F$15)+E$21*($C$15/$E$15+$D$15/$F$15)*1+E$24*($C$15/$E$15+$D$15/$F$15)+F$21*($C$15/$E$15+$D$15/$F$15)*1+F$24*($C$15/$E$15+$D$15/$F$15)+G$21*($C$15/$E$15+$D$15/$F$15)*1+G$24*($C$15/$E$15+$D$15/$F$15)+H$21*($C$15/$E$15+$D$15/$F$15)*1+H$24*($C$15/$E$15+$D$15/$F$15)+I$21*($C$15/$E$15+$D$15/$F$15)*1+I$24*($C$15/$E$15+$D$15/$F$15)+J$21*($C$15/$E$15+$D$15/$F$15)*1+J$24*($C$15/$E$15+$D$15/$F$15)+K$21*($C$15/$E$15+$D$15/$F$15)*1+K$24*($C$15/$E$15+$D$15/$F$15)+L$21*($C$15/$E$15+$D$15/$F$15)*0.5</f>
        <v/>
      </c>
      <c r="N22" s="38" t="inlineStr">
        <is>
          <t>Growth capex depreciates from the year it is spent (half-year convention); maintenance capex enters one year later. The lag is what keeps this non-circular — maintenance capex is itself a function of depreciation.</t>
        </is>
      </c>
    </row>
    <row r="23">
      <c r="A23" s="2" t="inlineStr">
        <is>
          <t xml:space="preserve">  memo: annual depreciation rate on a $1 vintage</t>
        </is>
      </c>
      <c r="C23" s="39">
        <f>$C$15/$E$15+$D$15/$F$15</f>
        <v/>
      </c>
    </row>
    <row r="24">
      <c r="A24" s="2" t="inlineStr">
        <is>
          <t>Maintenance capex</t>
        </is>
      </c>
      <c r="C24" s="32">
        <f>C22*$C$10*C18/MAX($C$18:$L$18)</f>
        <v/>
      </c>
      <c r="D24" s="32">
        <f>D22*$C$10*D18/MAX($C$18:$L$18)</f>
        <v/>
      </c>
      <c r="E24" s="32">
        <f>E22*$C$10*E18/MAX($C$18:$L$18)</f>
        <v/>
      </c>
      <c r="F24" s="32">
        <f>F22*$C$10*F18/MAX($C$18:$L$18)</f>
        <v/>
      </c>
      <c r="G24" s="32">
        <f>G22*$C$10*G18/MAX($C$18:$L$18)</f>
        <v/>
      </c>
      <c r="H24" s="32">
        <f>H22*$C$10*H18/MAX($C$18:$L$18)</f>
        <v/>
      </c>
      <c r="I24" s="32">
        <f>I22*$C$10*I18/MAX($C$18:$L$18)</f>
        <v/>
      </c>
      <c r="J24" s="32">
        <f>J22*$C$10*J18/MAX($C$18:$L$18)</f>
        <v/>
      </c>
      <c r="K24" s="32">
        <f>K22*$C$10*K18/MAX($C$18:$L$18)</f>
        <v/>
      </c>
      <c r="L24" s="32">
        <f>L22*$C$10*L18/MAX($C$18:$L$18)</f>
        <v/>
      </c>
    </row>
    <row r="25">
      <c r="A25" s="6" t="inlineStr">
        <is>
          <t>TOTAL CAPEX</t>
        </is>
      </c>
      <c r="C25" s="32">
        <f>C21+C24</f>
        <v/>
      </c>
      <c r="D25" s="32">
        <f>D21+D24</f>
        <v/>
      </c>
      <c r="E25" s="32">
        <f>E21+E24</f>
        <v/>
      </c>
      <c r="F25" s="32">
        <f>F21+F24</f>
        <v/>
      </c>
      <c r="G25" s="32">
        <f>G21+G24</f>
        <v/>
      </c>
      <c r="H25" s="32">
        <f>H21+H24</f>
        <v/>
      </c>
      <c r="I25" s="32">
        <f>I21+I24</f>
        <v/>
      </c>
      <c r="J25" s="32">
        <f>J21+J24</f>
        <v/>
      </c>
      <c r="K25" s="32">
        <f>K21+K24</f>
        <v/>
      </c>
      <c r="L25" s="32">
        <f>L21+L24</f>
        <v/>
      </c>
    </row>
    <row r="26">
      <c r="A26" s="2" t="inlineStr">
        <is>
          <t>EBITDA</t>
        </is>
      </c>
      <c r="C26" s="32">
        <f>C18*C7</f>
        <v/>
      </c>
      <c r="D26" s="32">
        <f>D18*D7</f>
        <v/>
      </c>
      <c r="E26" s="32">
        <f>E18*E7</f>
        <v/>
      </c>
      <c r="F26" s="32">
        <f>F18*F7</f>
        <v/>
      </c>
      <c r="G26" s="32">
        <f>G18*G7</f>
        <v/>
      </c>
      <c r="H26" s="32">
        <f>H18*H7</f>
        <v/>
      </c>
      <c r="I26" s="32">
        <f>I18*I7</f>
        <v/>
      </c>
      <c r="J26" s="32">
        <f>J18*J7</f>
        <v/>
      </c>
      <c r="K26" s="32">
        <f>K18*K7</f>
        <v/>
      </c>
      <c r="L26" s="32">
        <f>L18*L7</f>
        <v/>
      </c>
    </row>
    <row r="27">
      <c r="A27" s="2" t="inlineStr">
        <is>
          <t>EBIT</t>
        </is>
      </c>
      <c r="C27" s="32">
        <f>C26-C22</f>
        <v/>
      </c>
      <c r="D27" s="32">
        <f>D26-D22</f>
        <v/>
      </c>
      <c r="E27" s="32">
        <f>E26-E22</f>
        <v/>
      </c>
      <c r="F27" s="32">
        <f>F26-F22</f>
        <v/>
      </c>
      <c r="G27" s="32">
        <f>G26-G22</f>
        <v/>
      </c>
      <c r="H27" s="32">
        <f>H26-H22</f>
        <v/>
      </c>
      <c r="I27" s="32">
        <f>I26-I22</f>
        <v/>
      </c>
      <c r="J27" s="32">
        <f>J26-J22</f>
        <v/>
      </c>
      <c r="K27" s="32">
        <f>K26-K22</f>
        <v/>
      </c>
      <c r="L27" s="32">
        <f>L26-L22</f>
        <v/>
      </c>
    </row>
    <row r="28">
      <c r="A28" s="2" t="inlineStr">
        <is>
          <t>Cash tax</t>
        </is>
      </c>
      <c r="C28" s="32">
        <f>-MAX(0,C27)*$C$11</f>
        <v/>
      </c>
      <c r="D28" s="32">
        <f>-MAX(0,D27)*$C$11</f>
        <v/>
      </c>
      <c r="E28" s="32">
        <f>-MAX(0,E27)*$C$11</f>
        <v/>
      </c>
      <c r="F28" s="32">
        <f>-MAX(0,F27)*$C$11</f>
        <v/>
      </c>
      <c r="G28" s="32">
        <f>-MAX(0,G27)*$C$11</f>
        <v/>
      </c>
      <c r="H28" s="32">
        <f>-MAX(0,H27)*$C$11</f>
        <v/>
      </c>
      <c r="I28" s="32">
        <f>-MAX(0,I27)*$C$11</f>
        <v/>
      </c>
      <c r="J28" s="32">
        <f>-MAX(0,J27)*$C$11</f>
        <v/>
      </c>
      <c r="K28" s="32">
        <f>-MAX(0,K27)*$C$11</f>
        <v/>
      </c>
      <c r="L28" s="32">
        <f>-MAX(0,L27)*$C$11</f>
        <v/>
      </c>
    </row>
    <row r="29">
      <c r="A29" s="6" t="inlineStr">
        <is>
          <t>FREE CASH FLOW</t>
        </is>
      </c>
      <c r="C29" s="32">
        <f>C26+C28-C25</f>
        <v/>
      </c>
      <c r="D29" s="32">
        <f>D26+D28-D25</f>
        <v/>
      </c>
      <c r="E29" s="32">
        <f>E26+E28-E25</f>
        <v/>
      </c>
      <c r="F29" s="32">
        <f>F26+F28-F25</f>
        <v/>
      </c>
      <c r="G29" s="32">
        <f>G26+G28-G25</f>
        <v/>
      </c>
      <c r="H29" s="32">
        <f>H26+H28-H25</f>
        <v/>
      </c>
      <c r="I29" s="32">
        <f>I26+I28-I25</f>
        <v/>
      </c>
      <c r="J29" s="32">
        <f>J26+J28-J25</f>
        <v/>
      </c>
      <c r="K29" s="32">
        <f>K26+K28-K25</f>
        <v/>
      </c>
      <c r="L29" s="32">
        <f>L26+L28-L25</f>
        <v/>
      </c>
    </row>
    <row r="30">
      <c r="A30" s="2" t="inlineStr">
        <is>
          <t>Discount factor</t>
        </is>
      </c>
      <c r="C30" s="39">
        <f>1/(1+$C$14)^0.5</f>
        <v/>
      </c>
      <c r="D30" s="39">
        <f>1/(1+$C$14)^1.5</f>
        <v/>
      </c>
      <c r="E30" s="39">
        <f>1/(1+$C$14)^2.5</f>
        <v/>
      </c>
      <c r="F30" s="39">
        <f>1/(1+$C$14)^3.5</f>
        <v/>
      </c>
      <c r="G30" s="39">
        <f>1/(1+$C$14)^4.5</f>
        <v/>
      </c>
      <c r="H30" s="39">
        <f>1/(1+$C$14)^5.5</f>
        <v/>
      </c>
      <c r="I30" s="39">
        <f>1/(1+$C$14)^6.5</f>
        <v/>
      </c>
      <c r="J30" s="39">
        <f>1/(1+$C$14)^7.5</f>
        <v/>
      </c>
      <c r="K30" s="39">
        <f>1/(1+$C$14)^8.5</f>
        <v/>
      </c>
      <c r="L30" s="39">
        <f>1/(1+$C$14)^9.5</f>
        <v/>
      </c>
    </row>
    <row r="31">
      <c r="A31" s="2" t="inlineStr">
        <is>
          <t>PV of free cash flow</t>
        </is>
      </c>
      <c r="C31" s="32">
        <f>C29*C30</f>
        <v/>
      </c>
      <c r="D31" s="32">
        <f>D29*D30</f>
        <v/>
      </c>
      <c r="E31" s="32">
        <f>E29*E30</f>
        <v/>
      </c>
      <c r="F31" s="32">
        <f>F29*F30</f>
        <v/>
      </c>
      <c r="G31" s="32">
        <f>G29*G30</f>
        <v/>
      </c>
      <c r="H31" s="32">
        <f>H29*H30</f>
        <v/>
      </c>
      <c r="I31" s="32">
        <f>I29*I30</f>
        <v/>
      </c>
      <c r="J31" s="32">
        <f>J29*J30</f>
        <v/>
      </c>
      <c r="K31" s="32">
        <f>K29*K30</f>
        <v/>
      </c>
      <c r="L31" s="32">
        <f>L29*L30</f>
        <v/>
      </c>
    </row>
    <row r="33">
      <c r="A33" s="10" t="inlineStr">
        <is>
          <t>BRIDGE TO EQUITY VALUE</t>
        </is>
      </c>
      <c r="B33" s="11" t="n"/>
      <c r="C33" s="11" t="n"/>
      <c r="D33" s="11" t="n"/>
      <c r="E33" s="11" t="n"/>
      <c r="F33" s="11" t="n"/>
      <c r="G33" s="11" t="n"/>
      <c r="H33" s="11" t="n"/>
      <c r="I33" s="11" t="n"/>
      <c r="J33" s="11" t="n"/>
      <c r="K33" s="11" t="n"/>
      <c r="L33" s="11" t="n"/>
    </row>
    <row r="34">
      <c r="A34" s="2" t="inlineStr">
        <is>
          <t>PV of backlog cash flows</t>
        </is>
      </c>
      <c r="C34" s="32">
        <f>SUM($C$31:$L$31)</f>
        <v/>
      </c>
    </row>
    <row r="35">
      <c r="A35" s="2" t="inlineStr">
        <is>
          <t>Gross backlog capex</t>
        </is>
      </c>
      <c r="C35" s="32">
        <f>SUM($C$25:$L$25)</f>
        <v/>
      </c>
    </row>
    <row r="36">
      <c r="A36" s="2" t="inlineStr">
        <is>
          <t>Accumulated depreciation on it</t>
        </is>
      </c>
      <c r="C36" s="32">
        <f>SUM($C$22:$L$22)</f>
        <v/>
      </c>
    </row>
    <row r="37">
      <c r="A37" s="2" t="inlineStr">
        <is>
          <t>Remaining net book value at FY2036</t>
        </is>
      </c>
      <c r="C37" s="32">
        <f>MAX(0,C35-C36)</f>
        <v/>
      </c>
      <c r="N37" s="13" t="inlineStr">
        <is>
          <t>Land and the long-lived shell survive the 10-year horizon; the servers do not.</t>
        </is>
      </c>
    </row>
    <row r="38">
      <c r="A38" s="2" t="inlineStr">
        <is>
          <t>PV of residual asset value</t>
        </is>
      </c>
      <c r="C38" s="32">
        <f>C37*$C$12/(1+$C$14)^10</f>
        <v/>
      </c>
    </row>
    <row r="39">
      <c r="A39" s="6" t="inlineStr">
        <is>
          <t>BACKLOG ENTERPRISE VALUE</t>
        </is>
      </c>
      <c r="C39" s="32">
        <f>C34+C38</f>
        <v/>
      </c>
    </row>
    <row r="41">
      <c r="A41" s="10" t="inlineStr">
        <is>
          <t>LEGACY (NON-BACKLOG) BUSINESS — software support, licence, SaaS, services, hardware</t>
        </is>
      </c>
      <c r="B41" s="11" t="n"/>
      <c r="C41" s="11" t="n"/>
      <c r="D41" s="11" t="n"/>
      <c r="E41" s="11" t="n"/>
      <c r="F41" s="11" t="n"/>
      <c r="G41" s="11" t="n"/>
      <c r="H41" s="11" t="n"/>
      <c r="I41" s="11" t="n"/>
      <c r="J41" s="11" t="n"/>
      <c r="K41" s="11" t="n"/>
      <c r="L41" s="11" t="n"/>
    </row>
    <row r="42">
      <c r="A42" s="2" t="inlineStr">
        <is>
          <t>Steady-state revenue</t>
        </is>
      </c>
      <c r="C42" s="31" t="n">
        <v>51000</v>
      </c>
      <c r="N42" s="13" t="inlineStr">
        <is>
          <t>Software support alone has been a flat $19.5–19.8bn annuity for three years (10-K R89).</t>
        </is>
      </c>
    </row>
    <row r="43">
      <c r="A43" s="2" t="inlineStr">
        <is>
          <t>EBITDA margin</t>
        </is>
      </c>
      <c r="C43" s="33" t="n">
        <v>0.44</v>
      </c>
    </row>
    <row r="44">
      <c r="A44" s="2" t="inlineStr">
        <is>
          <t>Terminal growth</t>
        </is>
      </c>
      <c r="C44" s="33" t="n">
        <v>0.015</v>
      </c>
    </row>
    <row r="45">
      <c r="A45" s="2" t="inlineStr">
        <is>
          <t>Capex, % of revenue</t>
        </is>
      </c>
      <c r="C45" s="26" t="n">
        <v>0.03</v>
      </c>
    </row>
    <row r="46">
      <c r="A46" s="2" t="inlineStr">
        <is>
          <t>Tax rate</t>
        </is>
      </c>
      <c r="C46" s="26" t="n">
        <v>0.19</v>
      </c>
    </row>
    <row r="47">
      <c r="A47" s="2" t="inlineStr">
        <is>
          <t>Free cash flow</t>
        </is>
      </c>
      <c r="C47" s="32">
        <f>C42*C43*(1-C46)-C42*C45</f>
        <v/>
      </c>
    </row>
    <row r="48">
      <c r="A48" s="6" t="inlineStr">
        <is>
          <t>LEGACY BUSINESS VALUE</t>
        </is>
      </c>
      <c r="C48" s="32">
        <f>C47/($C$14-C44)</f>
        <v/>
      </c>
    </row>
    <row r="49">
      <c r="A49" s="2" t="inlineStr">
        <is>
          <t xml:space="preserve">  implied EV/EBITDA</t>
        </is>
      </c>
      <c r="C49" s="45">
        <f>C48/(C42*C43)</f>
        <v/>
      </c>
      <c r="N49" s="13" t="inlineStr">
        <is>
          <t>Cross-check: SAP trades at 18.7x, IBM 14.3x, MSFT 16.3x on the same calendarised basis. A perpetuity discounted at the group WACC values this annuity FAR below where the market prices comparable software annuities. Both readings are shown in the memo; the truth is between them.</t>
        </is>
      </c>
    </row>
    <row r="51">
      <c r="A51" s="6" t="inlineStr">
        <is>
          <t>CONTRACTED ENTERPRISE VALUE</t>
        </is>
      </c>
      <c r="C51" s="32">
        <f>C39+C48</f>
        <v/>
      </c>
    </row>
    <row r="52">
      <c r="A52" s="2" t="inlineStr">
        <is>
          <t>Less: net debt at 5/31/2026</t>
        </is>
      </c>
      <c r="C52" s="34">
        <f>-(Inputs!$B$78-Inputs!$B$79)</f>
        <v/>
      </c>
    </row>
    <row r="53">
      <c r="A53" s="2" t="inlineStr">
        <is>
          <t>Less: mandatory convertible preferred</t>
        </is>
      </c>
      <c r="C53" s="31" t="n">
        <v>-5000</v>
      </c>
    </row>
    <row r="54">
      <c r="A54" s="2" t="inlineStr">
        <is>
          <t>Less: non-controlling interests</t>
        </is>
      </c>
      <c r="C54" s="31" t="n">
        <v>-548</v>
      </c>
    </row>
    <row r="55">
      <c r="A55" s="6" t="inlineStr">
        <is>
          <t>CONTRACTED EQUITY VALUE</t>
        </is>
      </c>
      <c r="C55" s="32">
        <f>C51+C52+C53+C54</f>
        <v/>
      </c>
    </row>
    <row r="56">
      <c r="A56" s="6" t="inlineStr">
        <is>
          <t>CONTRACTED VALUE PER SHARE</t>
        </is>
      </c>
      <c r="C56" s="51">
        <f>C55/2914</f>
        <v/>
      </c>
    </row>
    <row r="57">
      <c r="A57" s="2" t="inlineStr">
        <is>
          <t>Market price, 2026-08-27</t>
        </is>
      </c>
      <c r="C57" s="30" t="n">
        <v>151.94</v>
      </c>
    </row>
    <row r="58">
      <c r="A58" s="6" t="inlineStr">
        <is>
          <t>Share of the price NOT covered by contracted value</t>
        </is>
      </c>
      <c r="C58" s="15">
        <f>1-C56/C57</f>
        <v/>
      </c>
      <c r="N58" s="13" t="inlineStr">
        <is>
          <t>THE HEADLINE NUMBER. This is what the buyer at $151.94 is paying for business Oracle has not yet signed.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1"/>
  <sheetViews>
    <sheetView showGridLines="0" workbookViewId="0">
      <selection activeCell="A1" sqref="A1"/>
    </sheetView>
  </sheetViews>
  <sheetFormatPr baseColWidth="8" defaultRowHeight="15"/>
  <cols>
    <col width="5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76" customWidth="1" min="15" max="15"/>
  </cols>
  <sheetData>
    <row r="1">
      <c r="A1" s="1" t="inlineStr">
        <is>
          <t>CROSS-CHECK — unlevered FCF DCF and FCFE</t>
        </is>
      </c>
    </row>
    <row r="2">
      <c r="A2" s="38" t="inlineStr">
        <is>
          <t>On five years of deeply negative free cash flow a growth-perpetuity DCF is mostly terminal assumption. The terminal share of EV is printed below so the reader can see exactly how much.</t>
        </is>
      </c>
    </row>
    <row r="4">
      <c r="A4" s="10" t="inlineStr">
        <is>
          <t>WACC BUILD</t>
        </is>
      </c>
      <c r="B4" s="11" t="n"/>
      <c r="C4" s="11" t="n"/>
      <c r="D4" s="11" t="n"/>
      <c r="E4" s="11" t="n"/>
      <c r="F4" s="11" t="n"/>
      <c r="G4" s="11" t="n"/>
      <c r="H4" s="11" t="n"/>
      <c r="I4" s="11" t="n"/>
      <c r="J4" s="11" t="n"/>
      <c r="K4" s="11" t="n"/>
      <c r="L4" s="11" t="n"/>
      <c r="M4" s="11" t="n"/>
    </row>
    <row r="5">
      <c r="A5" s="2" t="inlineStr">
        <is>
          <t>Risk-free rate (10y UST, ^TNX 8/27/26)</t>
        </is>
      </c>
      <c r="C5" s="29" t="n">
        <v>0.04672</v>
      </c>
    </row>
    <row r="6">
      <c r="A6" s="2" t="inlineStr">
        <is>
          <t>Equity risk premium</t>
        </is>
      </c>
      <c r="C6" s="52" t="n">
        <v>0.05</v>
      </c>
      <c r="O6" s="13" t="inlineStr">
        <is>
          <t>Analyst input. Mature-market ERP.</t>
        </is>
      </c>
    </row>
    <row r="7">
      <c r="A7" s="2" t="inlineStr">
        <is>
          <t>Beta, 5-year (source)</t>
        </is>
      </c>
      <c r="C7" s="27" t="n">
        <v>1.72</v>
      </c>
      <c r="O7" s="13" t="inlineStr">
        <is>
          <t>stockanalysis.com. Reflects the AI-era repricing of the stock.</t>
        </is>
      </c>
    </row>
    <row r="8">
      <c r="A8" s="2" t="inlineStr">
        <is>
          <t>Beta, normalised</t>
        </is>
      </c>
      <c r="C8" s="27" t="n">
        <v>1.28</v>
      </c>
      <c r="O8" s="13" t="inlineStr">
        <is>
          <t>Analyst estimate: pre-AI / software-peer level.</t>
        </is>
      </c>
    </row>
    <row r="9">
      <c r="A9" s="2" t="inlineStr">
        <is>
          <t>Beta used</t>
        </is>
      </c>
      <c r="C9" s="18">
        <f>AVERAGE(C7,C8)</f>
        <v/>
      </c>
      <c r="O9" s="13" t="inlineStr">
        <is>
          <t>The midpoint is a judgement call, and it is the single largest driver of the answer.</t>
        </is>
      </c>
    </row>
    <row r="10">
      <c r="A10" s="2" t="inlineStr">
        <is>
          <t>Cost of equity</t>
        </is>
      </c>
      <c r="C10" s="20">
        <f>C5+C9*C6</f>
        <v/>
      </c>
    </row>
    <row r="11">
      <c r="A11" s="2" t="inlineStr">
        <is>
          <t>Pre-tax cost of NEW debt</t>
        </is>
      </c>
      <c r="C11" s="49">
        <f>Inputs!$B$64</f>
        <v/>
      </c>
      <c r="O11" s="13" t="inlineStr">
        <is>
          <t>Oracle's Feb-2026 30-year priced 6.70%, 40-year 6.85% (10-K MD&amp;A).</t>
        </is>
      </c>
    </row>
    <row r="12">
      <c r="A12" s="2" t="inlineStr">
        <is>
          <t>Marginal tax rate</t>
        </is>
      </c>
      <c r="C12" s="29" t="n">
        <v>0.2</v>
      </c>
    </row>
    <row r="13">
      <c r="A13" s="2" t="inlineStr">
        <is>
          <t>Market value of equity ($m)</t>
        </is>
      </c>
      <c r="C13" s="31" t="n">
        <v>437660</v>
      </c>
      <c r="O13" s="13" t="inlineStr">
        <is>
          <t>2,880.471m shares (10-K cover) x $151.94.</t>
        </is>
      </c>
    </row>
    <row r="14">
      <c r="A14" s="2" t="inlineStr">
        <is>
          <t>Market value of debt incl. leases ($m)</t>
        </is>
      </c>
      <c r="C14" s="31" t="n">
        <v>167430</v>
      </c>
      <c r="O14" s="13" t="inlineStr">
        <is>
          <t>Single-source figure, 8/27/26. Includes capitalised operating and finance leases.</t>
        </is>
      </c>
    </row>
    <row r="15">
      <c r="A15" s="6" t="inlineStr">
        <is>
          <t>WACC</t>
        </is>
      </c>
      <c r="C15" s="22">
        <f>C13/(C13+C14)*C10+C14/(C13+C14)*C11*(1-C12)</f>
        <v/>
      </c>
      <c r="O15" s="13" t="inlineStr">
        <is>
          <t>At beta 1.72 this is 11.09%; at beta 1.28, 9.51%.</t>
        </is>
      </c>
    </row>
    <row r="17">
      <c r="A17" s="10" t="inlineStr">
        <is>
          <t>UNLEVERED FREE CASH FLOW</t>
        </is>
      </c>
      <c r="B17" s="11" t="n"/>
      <c r="C17" s="11" t="n"/>
      <c r="D17" s="11" t="n"/>
      <c r="E17" s="11" t="n"/>
      <c r="F17" s="11" t="n"/>
      <c r="G17" s="11" t="n"/>
      <c r="H17" s="11" t="n"/>
      <c r="I17" s="11" t="n"/>
      <c r="J17" s="11" t="n"/>
      <c r="K17" s="11" t="n"/>
      <c r="L17" s="11" t="n"/>
      <c r="M17" s="11" t="n"/>
    </row>
    <row r="18">
      <c r="C18" s="24" t="inlineStr">
        <is>
          <t>FY2027E</t>
        </is>
      </c>
      <c r="D18" s="24" t="inlineStr">
        <is>
          <t>FY2028E</t>
        </is>
      </c>
      <c r="E18" s="24" t="inlineStr">
        <is>
          <t>FY2029E</t>
        </is>
      </c>
      <c r="F18" s="24" t="inlineStr">
        <is>
          <t>FY2030E</t>
        </is>
      </c>
      <c r="G18" s="24" t="inlineStr">
        <is>
          <t>FY2031E</t>
        </is>
      </c>
    </row>
    <row r="19">
      <c r="A19" s="2" t="inlineStr">
        <is>
          <t>GAAP operating income</t>
        </is>
      </c>
      <c r="C19" s="34">
        <f>Income_Statement!C35</f>
        <v/>
      </c>
      <c r="D19" s="34">
        <f>Income_Statement!D35</f>
        <v/>
      </c>
      <c r="E19" s="34">
        <f>Income_Statement!E35</f>
        <v/>
      </c>
      <c r="F19" s="34">
        <f>Income_Statement!F35</f>
        <v/>
      </c>
      <c r="G19" s="34">
        <f>Income_Statement!G35</f>
        <v/>
      </c>
    </row>
    <row r="20">
      <c r="A20" s="2" t="inlineStr">
        <is>
          <t>NOPAT</t>
        </is>
      </c>
      <c r="C20" s="32">
        <f>C19*(1-Inputs!C$69)</f>
        <v/>
      </c>
      <c r="D20" s="32">
        <f>D19*(1-Inputs!D$69)</f>
        <v/>
      </c>
      <c r="E20" s="32">
        <f>E19*(1-Inputs!E$69)</f>
        <v/>
      </c>
      <c r="F20" s="32">
        <f>F19*(1-Inputs!F$69)</f>
        <v/>
      </c>
      <c r="G20" s="32">
        <f>G19*(1-Inputs!G$69)</f>
        <v/>
      </c>
    </row>
    <row r="21">
      <c r="A21" s="2" t="inlineStr">
        <is>
          <t>+ Depreciation &amp; amortisation</t>
        </is>
      </c>
      <c r="C21" s="34">
        <f>Capex_Depreciation!C35+Income_Statement!C33</f>
        <v/>
      </c>
      <c r="D21" s="34">
        <f>Capex_Depreciation!D35+Income_Statement!D33</f>
        <v/>
      </c>
      <c r="E21" s="34">
        <f>Capex_Depreciation!E35+Income_Statement!E33</f>
        <v/>
      </c>
      <c r="F21" s="34">
        <f>Capex_Depreciation!F35+Income_Statement!F33</f>
        <v/>
      </c>
      <c r="G21" s="34">
        <f>Capex_Depreciation!G35+Income_Statement!G33</f>
        <v/>
      </c>
    </row>
    <row r="22">
      <c r="A22" s="2" t="inlineStr">
        <is>
          <t>- Capital expenditure</t>
        </is>
      </c>
      <c r="C22" s="34">
        <f>-Capex_Depreciation!C23</f>
        <v/>
      </c>
      <c r="D22" s="34">
        <f>-Capex_Depreciation!D23</f>
        <v/>
      </c>
      <c r="E22" s="34">
        <f>-Capex_Depreciation!E23</f>
        <v/>
      </c>
      <c r="F22" s="34">
        <f>-Capex_Depreciation!F23</f>
        <v/>
      </c>
      <c r="G22" s="34">
        <f>-Capex_Depreciation!G23</f>
        <v/>
      </c>
    </row>
    <row r="23">
      <c r="A23" s="2" t="inlineStr">
        <is>
          <t>- Increase in net working capital</t>
        </is>
      </c>
      <c r="C23" s="34">
        <f>Cash_Flow!C12</f>
        <v/>
      </c>
      <c r="D23" s="34">
        <f>Cash_Flow!D12</f>
        <v/>
      </c>
      <c r="E23" s="34">
        <f>Cash_Flow!E12</f>
        <v/>
      </c>
      <c r="F23" s="34">
        <f>Cash_Flow!F12</f>
        <v/>
      </c>
      <c r="G23" s="34">
        <f>Cash_Flow!G12</f>
        <v/>
      </c>
    </row>
    <row r="24">
      <c r="A24" s="2" t="inlineStr">
        <is>
          <t>+ Customer prepayments</t>
        </is>
      </c>
      <c r="C24" s="34">
        <f>Cash_Flow!C13</f>
        <v/>
      </c>
      <c r="D24" s="34">
        <f>Cash_Flow!D13</f>
        <v/>
      </c>
      <c r="E24" s="34">
        <f>Cash_Flow!E13</f>
        <v/>
      </c>
      <c r="F24" s="34">
        <f>Cash_Flow!F13</f>
        <v/>
      </c>
      <c r="G24" s="34">
        <f>Cash_Flow!G13</f>
        <v/>
      </c>
    </row>
    <row r="25">
      <c r="A25" s="6" t="inlineStr">
        <is>
          <t>UNLEVERED FREE CASH FLOW</t>
        </is>
      </c>
      <c r="C25" s="32">
        <f>SUM(C20:C24)</f>
        <v/>
      </c>
      <c r="D25" s="32">
        <f>SUM(D20:D24)</f>
        <v/>
      </c>
      <c r="E25" s="32">
        <f>SUM(E20:E24)</f>
        <v/>
      </c>
      <c r="F25" s="32">
        <f>SUM(F20:F24)</f>
        <v/>
      </c>
      <c r="G25" s="32">
        <f>SUM(G20:G24)</f>
        <v/>
      </c>
    </row>
    <row r="26">
      <c r="A26" s="2" t="inlineStr">
        <is>
          <t>Discount period (mid-year)</t>
        </is>
      </c>
      <c r="C26" s="28" t="n">
        <v>0.5</v>
      </c>
      <c r="D26" s="28" t="n">
        <v>1.5</v>
      </c>
      <c r="E26" s="28" t="n">
        <v>2.5</v>
      </c>
      <c r="F26" s="28" t="n">
        <v>3.5</v>
      </c>
      <c r="G26" s="28" t="n">
        <v>4.5</v>
      </c>
    </row>
    <row r="27">
      <c r="A27" s="2" t="inlineStr">
        <is>
          <t>Discount factor</t>
        </is>
      </c>
      <c r="C27" s="39">
        <f>1/(1+$C$15)^C26</f>
        <v/>
      </c>
      <c r="D27" s="39">
        <f>1/(1+$C$15)^D26</f>
        <v/>
      </c>
      <c r="E27" s="39">
        <f>1/(1+$C$15)^E26</f>
        <v/>
      </c>
      <c r="F27" s="39">
        <f>1/(1+$C$15)^F26</f>
        <v/>
      </c>
      <c r="G27" s="39">
        <f>1/(1+$C$15)^G26</f>
        <v/>
      </c>
    </row>
    <row r="28">
      <c r="A28" s="2" t="inlineStr">
        <is>
          <t>PV of UFCF</t>
        </is>
      </c>
      <c r="C28" s="32">
        <f>C25*C27</f>
        <v/>
      </c>
      <c r="D28" s="32">
        <f>D25*D27</f>
        <v/>
      </c>
      <c r="E28" s="32">
        <f>E25*E27</f>
        <v/>
      </c>
      <c r="F28" s="32">
        <f>F25*F27</f>
        <v/>
      </c>
      <c r="G28" s="32">
        <f>G25*G27</f>
        <v/>
      </c>
    </row>
    <row r="30">
      <c r="A30" s="10" t="inlineStr">
        <is>
          <t>TERMINAL VALUE AND EQUITY BRIDGE</t>
        </is>
      </c>
      <c r="B30" s="11" t="n"/>
      <c r="C30" s="11" t="n"/>
      <c r="D30" s="11" t="n"/>
      <c r="E30" s="11" t="n"/>
      <c r="F30" s="11" t="n"/>
      <c r="G30" s="11" t="n"/>
      <c r="H30" s="11" t="n"/>
      <c r="I30" s="11" t="n"/>
      <c r="J30" s="11" t="n"/>
      <c r="K30" s="11" t="n"/>
      <c r="L30" s="11" t="n"/>
      <c r="M30" s="11" t="n"/>
    </row>
    <row r="31">
      <c r="A31" s="2" t="inlineStr">
        <is>
          <t>Terminal growth</t>
        </is>
      </c>
      <c r="C31" s="35">
        <f>Inputs!$B$83</f>
        <v/>
      </c>
    </row>
    <row r="32">
      <c r="A32" s="2" t="inlineStr">
        <is>
          <t>Terminal value at FY2031</t>
        </is>
      </c>
      <c r="C32" s="32">
        <f>G25*(1+C31)/($C$15-C31)</f>
        <v/>
      </c>
    </row>
    <row r="33">
      <c r="A33" s="2" t="inlineStr">
        <is>
          <t>PV of terminal value</t>
        </is>
      </c>
      <c r="C33" s="32">
        <f>C32/(1+$C$15)^5</f>
        <v/>
      </c>
    </row>
    <row r="34">
      <c r="A34" s="2" t="inlineStr">
        <is>
          <t>PV of the explicit forecast</t>
        </is>
      </c>
      <c r="C34" s="32">
        <f>SUM($C$28:$G$28)</f>
        <v/>
      </c>
    </row>
    <row r="35">
      <c r="A35" s="6" t="inlineStr">
        <is>
          <t>ENTERPRISE VALUE</t>
        </is>
      </c>
      <c r="C35" s="32">
        <f>C34+C33</f>
        <v/>
      </c>
    </row>
    <row r="36">
      <c r="A36" s="6" t="inlineStr">
        <is>
          <t>Terminal value as % of EV</t>
        </is>
      </c>
      <c r="C36" s="15">
        <f>C33/C35</f>
        <v/>
      </c>
      <c r="O36" s="13" t="inlineStr">
        <is>
          <t>Above ~75% the DCF is an opinion about 2032+ dressed as arithmetic. That is exactly why the RPO contract NPV is the primary method here.</t>
        </is>
      </c>
    </row>
    <row r="37">
      <c r="A37" s="2" t="inlineStr">
        <is>
          <t>Less: net debt / preferred / NCI</t>
        </is>
      </c>
      <c r="C37" s="34">
        <f>-(Inputs!$B$78-Inputs!$B$79)-5000-548</f>
        <v/>
      </c>
    </row>
    <row r="38">
      <c r="A38" s="6" t="inlineStr">
        <is>
          <t>EQUITY VALUE</t>
        </is>
      </c>
      <c r="C38" s="32">
        <f>C35+C37</f>
        <v/>
      </c>
    </row>
    <row r="39">
      <c r="A39" s="6" t="inlineStr">
        <is>
          <t>VALUE PER SHARE (UFCF DCF)</t>
        </is>
      </c>
      <c r="C39" s="51">
        <f>C38/Debt_Shares!G25</f>
        <v/>
      </c>
    </row>
    <row r="41">
      <c r="A41" s="10" t="inlineStr">
        <is>
          <t>FCFE CROSS-CHECK (given the leverage)</t>
        </is>
      </c>
      <c r="B41" s="11" t="n"/>
      <c r="C41" s="11" t="n"/>
      <c r="D41" s="11" t="n"/>
      <c r="E41" s="11" t="n"/>
      <c r="F41" s="11" t="n"/>
      <c r="G41" s="11" t="n"/>
      <c r="H41" s="11" t="n"/>
      <c r="I41" s="11" t="n"/>
      <c r="J41" s="11" t="n"/>
      <c r="K41" s="11" t="n"/>
      <c r="L41" s="11" t="n"/>
      <c r="M41" s="11" t="n"/>
    </row>
    <row r="42">
      <c r="C42" s="24" t="inlineStr">
        <is>
          <t>FY2027E</t>
        </is>
      </c>
      <c r="D42" s="24" t="inlineStr">
        <is>
          <t>FY2028E</t>
        </is>
      </c>
      <c r="E42" s="24" t="inlineStr">
        <is>
          <t>FY2029E</t>
        </is>
      </c>
      <c r="F42" s="24" t="inlineStr">
        <is>
          <t>FY2030E</t>
        </is>
      </c>
      <c r="G42" s="24" t="inlineStr">
        <is>
          <t>FY2031E</t>
        </is>
      </c>
    </row>
    <row r="43">
      <c r="A43" s="2" t="inlineStr">
        <is>
          <t>Operating cash flow</t>
        </is>
      </c>
      <c r="C43" s="34">
        <f>Cash_Flow!C14</f>
        <v/>
      </c>
      <c r="D43" s="34">
        <f>Cash_Flow!D14</f>
        <v/>
      </c>
      <c r="E43" s="34">
        <f>Cash_Flow!E14</f>
        <v/>
      </c>
      <c r="F43" s="34">
        <f>Cash_Flow!F14</f>
        <v/>
      </c>
      <c r="G43" s="34">
        <f>Cash_Flow!G14</f>
        <v/>
      </c>
    </row>
    <row r="44">
      <c r="A44" s="2" t="inlineStr">
        <is>
          <t>- Capex + short-term capex financing</t>
        </is>
      </c>
      <c r="C44" s="34">
        <f>Cash_Flow!C17+Cash_Flow!C31</f>
        <v/>
      </c>
      <c r="D44" s="34">
        <f>Cash_Flow!D17+Cash_Flow!D31</f>
        <v/>
      </c>
      <c r="E44" s="34">
        <f>Cash_Flow!E17+Cash_Flow!E31</f>
        <v/>
      </c>
      <c r="F44" s="34">
        <f>Cash_Flow!F17+Cash_Flow!F31</f>
        <v/>
      </c>
      <c r="G44" s="34">
        <f>Cash_Flow!G17+Cash_Flow!G31</f>
        <v/>
      </c>
    </row>
    <row r="45">
      <c r="A45" s="2" t="inlineStr">
        <is>
          <t>+ Net debt issued / (repaid)</t>
        </is>
      </c>
      <c r="C45" s="34">
        <f>Cash_Flow!C34+Cash_Flow!C29</f>
        <v/>
      </c>
      <c r="D45" s="34">
        <f>Cash_Flow!D34+Cash_Flow!D29</f>
        <v/>
      </c>
      <c r="E45" s="34">
        <f>Cash_Flow!E34+Cash_Flow!E29</f>
        <v/>
      </c>
      <c r="F45" s="34">
        <f>Cash_Flow!F34+Cash_Flow!F29</f>
        <v/>
      </c>
      <c r="G45" s="34">
        <f>Cash_Flow!G34+Cash_Flow!G29</f>
        <v/>
      </c>
    </row>
    <row r="46">
      <c r="A46" s="6" t="inlineStr">
        <is>
          <t>FREE CASH FLOW TO EQUITY</t>
        </is>
      </c>
      <c r="C46" s="32">
        <f>C43+C44+C45</f>
        <v/>
      </c>
      <c r="D46" s="32">
        <f>D43+D44+D45</f>
        <v/>
      </c>
      <c r="E46" s="32">
        <f>E43+E44+E45</f>
        <v/>
      </c>
      <c r="F46" s="32">
        <f>F43+F44+F45</f>
        <v/>
      </c>
      <c r="G46" s="32">
        <f>G43+G44+G45</f>
        <v/>
      </c>
    </row>
    <row r="47">
      <c r="A47" s="2" t="inlineStr">
        <is>
          <t>Discount factor at cost of equity</t>
        </is>
      </c>
      <c r="C47" s="39">
        <f>1/(1+$C$10)^C26</f>
        <v/>
      </c>
      <c r="D47" s="39">
        <f>1/(1+$C$10)^D26</f>
        <v/>
      </c>
      <c r="E47" s="39">
        <f>1/(1+$C$10)^E26</f>
        <v/>
      </c>
      <c r="F47" s="39">
        <f>1/(1+$C$10)^F26</f>
        <v/>
      </c>
      <c r="G47" s="39">
        <f>1/(1+$C$10)^G26</f>
        <v/>
      </c>
    </row>
    <row r="48">
      <c r="A48" s="2" t="inlineStr">
        <is>
          <t>PV of FCFE</t>
        </is>
      </c>
      <c r="C48" s="32">
        <f>C46*C47</f>
        <v/>
      </c>
      <c r="D48" s="32">
        <f>D46*D47</f>
        <v/>
      </c>
      <c r="E48" s="32">
        <f>E46*E47</f>
        <v/>
      </c>
      <c r="F48" s="32">
        <f>F46*F47</f>
        <v/>
      </c>
      <c r="G48" s="32">
        <f>G46*G47</f>
        <v/>
      </c>
    </row>
    <row r="49">
      <c r="A49" s="2" t="inlineStr">
        <is>
          <t>Terminal value of FCFE</t>
        </is>
      </c>
      <c r="C49" s="32">
        <f>G46*(1+C31)/($C$10-C31)</f>
        <v/>
      </c>
    </row>
    <row r="50">
      <c r="A50" s="6" t="inlineStr">
        <is>
          <t>EQUITY VALUE (FCFE)</t>
        </is>
      </c>
      <c r="C50" s="32">
        <f>SUM($C$48:$G$48)+C49/(1+$C$10)^5</f>
        <v/>
      </c>
    </row>
    <row r="51">
      <c r="A51" s="6" t="inlineStr">
        <is>
          <t>VALUE PER SHARE (FCFE)</t>
        </is>
      </c>
      <c r="C51" s="51">
        <f>C50/Debt_Shares!G25</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9"/>
  <sheetViews>
    <sheetView showGridLines="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76" customWidth="1" min="15" max="15"/>
  </cols>
  <sheetData>
    <row r="1">
      <c r="A1" s="1" t="inlineStr">
        <is>
          <t>SENSITIVITY AND DRIVER RANKING</t>
        </is>
      </c>
    </row>
    <row r="2">
      <c r="A2" s="38" t="inlineStr">
        <is>
          <t>Tables A and B are LIVE. Table C requires a full model re-solve per cell and is written as values from valuation.py.</t>
        </is>
      </c>
    </row>
    <row r="4">
      <c r="A4" s="10" t="inlineStr">
        <is>
          <t>A. LIVE — UFCF DCF value per share: WACC x terminal growth</t>
        </is>
      </c>
      <c r="B4" s="11" t="n"/>
      <c r="C4" s="11" t="n"/>
      <c r="D4" s="11" t="n"/>
      <c r="E4" s="11" t="n"/>
      <c r="F4" s="11" t="n"/>
      <c r="G4" s="11" t="n"/>
      <c r="H4" s="11" t="n"/>
      <c r="I4" s="11" t="n"/>
      <c r="J4" s="11" t="n"/>
      <c r="K4" s="11" t="n"/>
      <c r="L4" s="11" t="n"/>
      <c r="M4" s="11" t="n"/>
    </row>
    <row r="5">
      <c r="B5" s="38" t="inlineStr">
        <is>
          <t>exponents -&gt;</t>
        </is>
      </c>
      <c r="C5" s="53" t="n">
        <v>0.5</v>
      </c>
      <c r="D5" s="53" t="n">
        <v>1.5</v>
      </c>
      <c r="E5" s="53" t="n">
        <v>2.5</v>
      </c>
      <c r="F5" s="53" t="n">
        <v>3.5</v>
      </c>
      <c r="G5" s="53" t="n">
        <v>4.5</v>
      </c>
    </row>
    <row r="6">
      <c r="B6" s="6" t="inlineStr">
        <is>
          <t>WACC \ g</t>
        </is>
      </c>
      <c r="C6" s="26" t="n">
        <v>0.01</v>
      </c>
      <c r="D6" s="26" t="n">
        <v>0.02</v>
      </c>
      <c r="E6" s="26" t="n">
        <v>0.03</v>
      </c>
      <c r="F6" s="26" t="n">
        <v>0.04</v>
      </c>
      <c r="G6" s="26" t="n">
        <v>0.05</v>
      </c>
    </row>
    <row r="7">
      <c r="B7" s="29" t="n">
        <v>0.08500000000000001</v>
      </c>
      <c r="C7" s="21">
        <f>(SUMPRODUCT(Valuation_DCF!$C$25:$G$25,1/(1+$B7)^$C$5:$G$5)+Valuation_DCF!$G$25*(1+C$6)/($B7-C$6)/(1+$B7)^5+(-(Inputs!$B$78-Inputs!$B$79)-5000-548))/Debt_Shares!$G$25</f>
        <v/>
      </c>
      <c r="D7" s="21">
        <f>(SUMPRODUCT(Valuation_DCF!$C$25:$G$25,1/(1+$B7)^$C$5:$G$5)+Valuation_DCF!$G$25*(1+D$6)/($B7-D$6)/(1+$B7)^5+(-(Inputs!$B$78-Inputs!$B$79)-5000-548))/Debt_Shares!$G$25</f>
        <v/>
      </c>
      <c r="E7" s="21">
        <f>(SUMPRODUCT(Valuation_DCF!$C$25:$G$25,1/(1+$B7)^$C$5:$G$5)+Valuation_DCF!$G$25*(1+E$6)/($B7-E$6)/(1+$B7)^5+(-(Inputs!$B$78-Inputs!$B$79)-5000-548))/Debt_Shares!$G$25</f>
        <v/>
      </c>
      <c r="F7" s="21">
        <f>(SUMPRODUCT(Valuation_DCF!$C$25:$G$25,1/(1+$B7)^$C$5:$G$5)+Valuation_DCF!$G$25*(1+F$6)/($B7-F$6)/(1+$B7)^5+(-(Inputs!$B$78-Inputs!$B$79)-5000-548))/Debt_Shares!$G$25</f>
        <v/>
      </c>
      <c r="G7" s="21">
        <f>(SUMPRODUCT(Valuation_DCF!$C$25:$G$25,1/(1+$B7)^$C$5:$G$5)+Valuation_DCF!$G$25*(1+G$6)/($B7-G$6)/(1+$B7)^5+(-(Inputs!$B$78-Inputs!$B$79)-5000-548))/Debt_Shares!$G$25</f>
        <v/>
      </c>
    </row>
    <row r="8">
      <c r="B8" s="29" t="n">
        <v>0.095</v>
      </c>
      <c r="C8" s="21">
        <f>(SUMPRODUCT(Valuation_DCF!$C$25:$G$25,1/(1+$B8)^$C$5:$G$5)+Valuation_DCF!$G$25*(1+C$6)/($B8-C$6)/(1+$B8)^5+(-(Inputs!$B$78-Inputs!$B$79)-5000-548))/Debt_Shares!$G$25</f>
        <v/>
      </c>
      <c r="D8" s="21">
        <f>(SUMPRODUCT(Valuation_DCF!$C$25:$G$25,1/(1+$B8)^$C$5:$G$5)+Valuation_DCF!$G$25*(1+D$6)/($B8-D$6)/(1+$B8)^5+(-(Inputs!$B$78-Inputs!$B$79)-5000-548))/Debt_Shares!$G$25</f>
        <v/>
      </c>
      <c r="E8" s="21">
        <f>(SUMPRODUCT(Valuation_DCF!$C$25:$G$25,1/(1+$B8)^$C$5:$G$5)+Valuation_DCF!$G$25*(1+E$6)/($B8-E$6)/(1+$B8)^5+(-(Inputs!$B$78-Inputs!$B$79)-5000-548))/Debt_Shares!$G$25</f>
        <v/>
      </c>
      <c r="F8" s="21">
        <f>(SUMPRODUCT(Valuation_DCF!$C$25:$G$25,1/(1+$B8)^$C$5:$G$5)+Valuation_DCF!$G$25*(1+F$6)/($B8-F$6)/(1+$B8)^5+(-(Inputs!$B$78-Inputs!$B$79)-5000-548))/Debt_Shares!$G$25</f>
        <v/>
      </c>
      <c r="G8" s="21">
        <f>(SUMPRODUCT(Valuation_DCF!$C$25:$G$25,1/(1+$B8)^$C$5:$G$5)+Valuation_DCF!$G$25*(1+G$6)/($B8-G$6)/(1+$B8)^5+(-(Inputs!$B$78-Inputs!$B$79)-5000-548))/Debt_Shares!$G$25</f>
        <v/>
      </c>
    </row>
    <row r="9">
      <c r="B9" s="29" t="n">
        <v>0.103</v>
      </c>
      <c r="C9" s="21">
        <f>(SUMPRODUCT(Valuation_DCF!$C$25:$G$25,1/(1+$B9)^$C$5:$G$5)+Valuation_DCF!$G$25*(1+C$6)/($B9-C$6)/(1+$B9)^5+(-(Inputs!$B$78-Inputs!$B$79)-5000-548))/Debt_Shares!$G$25</f>
        <v/>
      </c>
      <c r="D9" s="21">
        <f>(SUMPRODUCT(Valuation_DCF!$C$25:$G$25,1/(1+$B9)^$C$5:$G$5)+Valuation_DCF!$G$25*(1+D$6)/($B9-D$6)/(1+$B9)^5+(-(Inputs!$B$78-Inputs!$B$79)-5000-548))/Debt_Shares!$G$25</f>
        <v/>
      </c>
      <c r="E9" s="21">
        <f>(SUMPRODUCT(Valuation_DCF!$C$25:$G$25,1/(1+$B9)^$C$5:$G$5)+Valuation_DCF!$G$25*(1+E$6)/($B9-E$6)/(1+$B9)^5+(-(Inputs!$B$78-Inputs!$B$79)-5000-548))/Debt_Shares!$G$25</f>
        <v/>
      </c>
      <c r="F9" s="21">
        <f>(SUMPRODUCT(Valuation_DCF!$C$25:$G$25,1/(1+$B9)^$C$5:$G$5)+Valuation_DCF!$G$25*(1+F$6)/($B9-F$6)/(1+$B9)^5+(-(Inputs!$B$78-Inputs!$B$79)-5000-548))/Debt_Shares!$G$25</f>
        <v/>
      </c>
      <c r="G9" s="21">
        <f>(SUMPRODUCT(Valuation_DCF!$C$25:$G$25,1/(1+$B9)^$C$5:$G$5)+Valuation_DCF!$G$25*(1+G$6)/($B9-G$6)/(1+$B9)^5+(-(Inputs!$B$78-Inputs!$B$79)-5000-548))/Debt_Shares!$G$25</f>
        <v/>
      </c>
    </row>
    <row r="10">
      <c r="B10" s="29" t="n">
        <v>0.115</v>
      </c>
      <c r="C10" s="21">
        <f>(SUMPRODUCT(Valuation_DCF!$C$25:$G$25,1/(1+$B10)^$C$5:$G$5)+Valuation_DCF!$G$25*(1+C$6)/($B10-C$6)/(1+$B10)^5+(-(Inputs!$B$78-Inputs!$B$79)-5000-548))/Debt_Shares!$G$25</f>
        <v/>
      </c>
      <c r="D10" s="21">
        <f>(SUMPRODUCT(Valuation_DCF!$C$25:$G$25,1/(1+$B10)^$C$5:$G$5)+Valuation_DCF!$G$25*(1+D$6)/($B10-D$6)/(1+$B10)^5+(-(Inputs!$B$78-Inputs!$B$79)-5000-548))/Debt_Shares!$G$25</f>
        <v/>
      </c>
      <c r="E10" s="21">
        <f>(SUMPRODUCT(Valuation_DCF!$C$25:$G$25,1/(1+$B10)^$C$5:$G$5)+Valuation_DCF!$G$25*(1+E$6)/($B10-E$6)/(1+$B10)^5+(-(Inputs!$B$78-Inputs!$B$79)-5000-548))/Debt_Shares!$G$25</f>
        <v/>
      </c>
      <c r="F10" s="21">
        <f>(SUMPRODUCT(Valuation_DCF!$C$25:$G$25,1/(1+$B10)^$C$5:$G$5)+Valuation_DCF!$G$25*(1+F$6)/($B10-F$6)/(1+$B10)^5+(-(Inputs!$B$78-Inputs!$B$79)-5000-548))/Debt_Shares!$G$25</f>
        <v/>
      </c>
      <c r="G10" s="21">
        <f>(SUMPRODUCT(Valuation_DCF!$C$25:$G$25,1/(1+$B10)^$C$5:$G$5)+Valuation_DCF!$G$25*(1+G$6)/($B10-G$6)/(1+$B10)^5+(-(Inputs!$B$78-Inputs!$B$79)-5000-548))/Debt_Shares!$G$25</f>
        <v/>
      </c>
    </row>
    <row r="11">
      <c r="B11" s="29" t="n">
        <v>0.125</v>
      </c>
      <c r="C11" s="21">
        <f>(SUMPRODUCT(Valuation_DCF!$C$25:$G$25,1/(1+$B11)^$C$5:$G$5)+Valuation_DCF!$G$25*(1+C$6)/($B11-C$6)/(1+$B11)^5+(-(Inputs!$B$78-Inputs!$B$79)-5000-548))/Debt_Shares!$G$25</f>
        <v/>
      </c>
      <c r="D11" s="21">
        <f>(SUMPRODUCT(Valuation_DCF!$C$25:$G$25,1/(1+$B11)^$C$5:$G$5)+Valuation_DCF!$G$25*(1+D$6)/($B11-D$6)/(1+$B11)^5+(-(Inputs!$B$78-Inputs!$B$79)-5000-548))/Debt_Shares!$G$25</f>
        <v/>
      </c>
      <c r="E11" s="21">
        <f>(SUMPRODUCT(Valuation_DCF!$C$25:$G$25,1/(1+$B11)^$C$5:$G$5)+Valuation_DCF!$G$25*(1+E$6)/($B11-E$6)/(1+$B11)^5+(-(Inputs!$B$78-Inputs!$B$79)-5000-548))/Debt_Shares!$G$25</f>
        <v/>
      </c>
      <c r="F11" s="21">
        <f>(SUMPRODUCT(Valuation_DCF!$C$25:$G$25,1/(1+$B11)^$C$5:$G$5)+Valuation_DCF!$G$25*(1+F$6)/($B11-F$6)/(1+$B11)^5+(-(Inputs!$B$78-Inputs!$B$79)-5000-548))/Debt_Shares!$G$25</f>
        <v/>
      </c>
      <c r="G11" s="21">
        <f>(SUMPRODUCT(Valuation_DCF!$C$25:$G$25,1/(1+$B11)^$C$5:$G$5)+Valuation_DCF!$G$25*(1+G$6)/($B11-G$6)/(1+$B11)^5+(-(Inputs!$B$78-Inputs!$B$79)-5000-548))/Debt_Shares!$G$25</f>
        <v/>
      </c>
    </row>
    <row r="13">
      <c r="A13" s="10" t="inlineStr">
        <is>
          <t>B. LIVE — contracted (RPO NPV + legacy) value per share: WACC x backlog EBITDA margin shift</t>
        </is>
      </c>
      <c r="B13" s="11" t="n"/>
      <c r="C13" s="11" t="n"/>
      <c r="D13" s="11" t="n"/>
      <c r="E13" s="11" t="n"/>
      <c r="F13" s="11" t="n"/>
      <c r="G13" s="11" t="n"/>
      <c r="H13" s="11" t="n"/>
      <c r="I13" s="11" t="n"/>
      <c r="J13" s="11" t="n"/>
      <c r="K13" s="11" t="n"/>
      <c r="L13" s="11" t="n"/>
      <c r="M13" s="11" t="n"/>
    </row>
    <row r="14">
      <c r="B14" s="6" t="inlineStr">
        <is>
          <t>WACC \ margin</t>
        </is>
      </c>
      <c r="C14" s="54" t="n">
        <v>-0.08</v>
      </c>
      <c r="D14" s="54" t="n">
        <v>-0.04</v>
      </c>
      <c r="E14" s="54" t="n">
        <v>0</v>
      </c>
      <c r="F14" s="54" t="n">
        <v>0.04</v>
      </c>
      <c r="G14" s="54" t="n">
        <v>0.08</v>
      </c>
    </row>
    <row r="15">
      <c r="B15" s="29" t="n">
        <v>0.08500000000000001</v>
      </c>
      <c r="C15" s="21">
        <f>(SUMPRODUCT(Valuation_RPO_NPV!$C$29:$L$29+Valuation_RPO_NPV!$C$18:$L$18*C$14,1/(1+$B15)^$C$21:$L$21)+(Valuation_RPO_NPV!$C$42*Valuation_RPO_NPV!$C$43*(1-Valuation_RPO_NPV!$C$46)-Valuation_RPO_NPV!$C$42*Valuation_RPO_NPV!$C$45)/($B15-Valuation_RPO_NPV!$C$44)+(-(Inputs!$B$78-Inputs!$B$79)-5000-548))/2914</f>
        <v/>
      </c>
      <c r="D15" s="21">
        <f>(SUMPRODUCT(Valuation_RPO_NPV!$C$29:$L$29+Valuation_RPO_NPV!$C$18:$L$18*D$14,1/(1+$B15)^$C$21:$L$21)+(Valuation_RPO_NPV!$C$42*Valuation_RPO_NPV!$C$43*(1-Valuation_RPO_NPV!$C$46)-Valuation_RPO_NPV!$C$42*Valuation_RPO_NPV!$C$45)/($B15-Valuation_RPO_NPV!$C$44)+(-(Inputs!$B$78-Inputs!$B$79)-5000-548))/2914</f>
        <v/>
      </c>
      <c r="E15" s="21">
        <f>(SUMPRODUCT(Valuation_RPO_NPV!$C$29:$L$29+Valuation_RPO_NPV!$C$18:$L$18*E$14,1/(1+$B15)^$C$21:$L$21)+(Valuation_RPO_NPV!$C$42*Valuation_RPO_NPV!$C$43*(1-Valuation_RPO_NPV!$C$46)-Valuation_RPO_NPV!$C$42*Valuation_RPO_NPV!$C$45)/($B15-Valuation_RPO_NPV!$C$44)+(-(Inputs!$B$78-Inputs!$B$79)-5000-548))/2914</f>
        <v/>
      </c>
      <c r="F15" s="21">
        <f>(SUMPRODUCT(Valuation_RPO_NPV!$C$29:$L$29+Valuation_RPO_NPV!$C$18:$L$18*F$14,1/(1+$B15)^$C$21:$L$21)+(Valuation_RPO_NPV!$C$42*Valuation_RPO_NPV!$C$43*(1-Valuation_RPO_NPV!$C$46)-Valuation_RPO_NPV!$C$42*Valuation_RPO_NPV!$C$45)/($B15-Valuation_RPO_NPV!$C$44)+(-(Inputs!$B$78-Inputs!$B$79)-5000-548))/2914</f>
        <v/>
      </c>
      <c r="G15" s="21">
        <f>(SUMPRODUCT(Valuation_RPO_NPV!$C$29:$L$29+Valuation_RPO_NPV!$C$18:$L$18*G$14,1/(1+$B15)^$C$21:$L$21)+(Valuation_RPO_NPV!$C$42*Valuation_RPO_NPV!$C$43*(1-Valuation_RPO_NPV!$C$46)-Valuation_RPO_NPV!$C$42*Valuation_RPO_NPV!$C$45)/($B15-Valuation_RPO_NPV!$C$44)+(-(Inputs!$B$78-Inputs!$B$79)-5000-548))/2914</f>
        <v/>
      </c>
    </row>
    <row r="16">
      <c r="B16" s="29" t="n">
        <v>0.095</v>
      </c>
      <c r="C16" s="21">
        <f>(SUMPRODUCT(Valuation_RPO_NPV!$C$29:$L$29+Valuation_RPO_NPV!$C$18:$L$18*C$14,1/(1+$B16)^$C$21:$L$21)+(Valuation_RPO_NPV!$C$42*Valuation_RPO_NPV!$C$43*(1-Valuation_RPO_NPV!$C$46)-Valuation_RPO_NPV!$C$42*Valuation_RPO_NPV!$C$45)/($B16-Valuation_RPO_NPV!$C$44)+(-(Inputs!$B$78-Inputs!$B$79)-5000-548))/2914</f>
        <v/>
      </c>
      <c r="D16" s="21">
        <f>(SUMPRODUCT(Valuation_RPO_NPV!$C$29:$L$29+Valuation_RPO_NPV!$C$18:$L$18*D$14,1/(1+$B16)^$C$21:$L$21)+(Valuation_RPO_NPV!$C$42*Valuation_RPO_NPV!$C$43*(1-Valuation_RPO_NPV!$C$46)-Valuation_RPO_NPV!$C$42*Valuation_RPO_NPV!$C$45)/($B16-Valuation_RPO_NPV!$C$44)+(-(Inputs!$B$78-Inputs!$B$79)-5000-548))/2914</f>
        <v/>
      </c>
      <c r="E16" s="21">
        <f>(SUMPRODUCT(Valuation_RPO_NPV!$C$29:$L$29+Valuation_RPO_NPV!$C$18:$L$18*E$14,1/(1+$B16)^$C$21:$L$21)+(Valuation_RPO_NPV!$C$42*Valuation_RPO_NPV!$C$43*(1-Valuation_RPO_NPV!$C$46)-Valuation_RPO_NPV!$C$42*Valuation_RPO_NPV!$C$45)/($B16-Valuation_RPO_NPV!$C$44)+(-(Inputs!$B$78-Inputs!$B$79)-5000-548))/2914</f>
        <v/>
      </c>
      <c r="F16" s="21">
        <f>(SUMPRODUCT(Valuation_RPO_NPV!$C$29:$L$29+Valuation_RPO_NPV!$C$18:$L$18*F$14,1/(1+$B16)^$C$21:$L$21)+(Valuation_RPO_NPV!$C$42*Valuation_RPO_NPV!$C$43*(1-Valuation_RPO_NPV!$C$46)-Valuation_RPO_NPV!$C$42*Valuation_RPO_NPV!$C$45)/($B16-Valuation_RPO_NPV!$C$44)+(-(Inputs!$B$78-Inputs!$B$79)-5000-548))/2914</f>
        <v/>
      </c>
      <c r="G16" s="21">
        <f>(SUMPRODUCT(Valuation_RPO_NPV!$C$29:$L$29+Valuation_RPO_NPV!$C$18:$L$18*G$14,1/(1+$B16)^$C$21:$L$21)+(Valuation_RPO_NPV!$C$42*Valuation_RPO_NPV!$C$43*(1-Valuation_RPO_NPV!$C$46)-Valuation_RPO_NPV!$C$42*Valuation_RPO_NPV!$C$45)/($B16-Valuation_RPO_NPV!$C$44)+(-(Inputs!$B$78-Inputs!$B$79)-5000-548))/2914</f>
        <v/>
      </c>
    </row>
    <row r="17">
      <c r="B17" s="29" t="n">
        <v>0.103</v>
      </c>
      <c r="C17" s="21">
        <f>(SUMPRODUCT(Valuation_RPO_NPV!$C$29:$L$29+Valuation_RPO_NPV!$C$18:$L$18*C$14,1/(1+$B17)^$C$21:$L$21)+(Valuation_RPO_NPV!$C$42*Valuation_RPO_NPV!$C$43*(1-Valuation_RPO_NPV!$C$46)-Valuation_RPO_NPV!$C$42*Valuation_RPO_NPV!$C$45)/($B17-Valuation_RPO_NPV!$C$44)+(-(Inputs!$B$78-Inputs!$B$79)-5000-548))/2914</f>
        <v/>
      </c>
      <c r="D17" s="21">
        <f>(SUMPRODUCT(Valuation_RPO_NPV!$C$29:$L$29+Valuation_RPO_NPV!$C$18:$L$18*D$14,1/(1+$B17)^$C$21:$L$21)+(Valuation_RPO_NPV!$C$42*Valuation_RPO_NPV!$C$43*(1-Valuation_RPO_NPV!$C$46)-Valuation_RPO_NPV!$C$42*Valuation_RPO_NPV!$C$45)/($B17-Valuation_RPO_NPV!$C$44)+(-(Inputs!$B$78-Inputs!$B$79)-5000-548))/2914</f>
        <v/>
      </c>
      <c r="E17" s="21">
        <f>(SUMPRODUCT(Valuation_RPO_NPV!$C$29:$L$29+Valuation_RPO_NPV!$C$18:$L$18*E$14,1/(1+$B17)^$C$21:$L$21)+(Valuation_RPO_NPV!$C$42*Valuation_RPO_NPV!$C$43*(1-Valuation_RPO_NPV!$C$46)-Valuation_RPO_NPV!$C$42*Valuation_RPO_NPV!$C$45)/($B17-Valuation_RPO_NPV!$C$44)+(-(Inputs!$B$78-Inputs!$B$79)-5000-548))/2914</f>
        <v/>
      </c>
      <c r="F17" s="21">
        <f>(SUMPRODUCT(Valuation_RPO_NPV!$C$29:$L$29+Valuation_RPO_NPV!$C$18:$L$18*F$14,1/(1+$B17)^$C$21:$L$21)+(Valuation_RPO_NPV!$C$42*Valuation_RPO_NPV!$C$43*(1-Valuation_RPO_NPV!$C$46)-Valuation_RPO_NPV!$C$42*Valuation_RPO_NPV!$C$45)/($B17-Valuation_RPO_NPV!$C$44)+(-(Inputs!$B$78-Inputs!$B$79)-5000-548))/2914</f>
        <v/>
      </c>
      <c r="G17" s="21">
        <f>(SUMPRODUCT(Valuation_RPO_NPV!$C$29:$L$29+Valuation_RPO_NPV!$C$18:$L$18*G$14,1/(1+$B17)^$C$21:$L$21)+(Valuation_RPO_NPV!$C$42*Valuation_RPO_NPV!$C$43*(1-Valuation_RPO_NPV!$C$46)-Valuation_RPO_NPV!$C$42*Valuation_RPO_NPV!$C$45)/($B17-Valuation_RPO_NPV!$C$44)+(-(Inputs!$B$78-Inputs!$B$79)-5000-548))/2914</f>
        <v/>
      </c>
    </row>
    <row r="18">
      <c r="B18" s="29" t="n">
        <v>0.115</v>
      </c>
      <c r="C18" s="21">
        <f>(SUMPRODUCT(Valuation_RPO_NPV!$C$29:$L$29+Valuation_RPO_NPV!$C$18:$L$18*C$14,1/(1+$B18)^$C$21:$L$21)+(Valuation_RPO_NPV!$C$42*Valuation_RPO_NPV!$C$43*(1-Valuation_RPO_NPV!$C$46)-Valuation_RPO_NPV!$C$42*Valuation_RPO_NPV!$C$45)/($B18-Valuation_RPO_NPV!$C$44)+(-(Inputs!$B$78-Inputs!$B$79)-5000-548))/2914</f>
        <v/>
      </c>
      <c r="D18" s="21">
        <f>(SUMPRODUCT(Valuation_RPO_NPV!$C$29:$L$29+Valuation_RPO_NPV!$C$18:$L$18*D$14,1/(1+$B18)^$C$21:$L$21)+(Valuation_RPO_NPV!$C$42*Valuation_RPO_NPV!$C$43*(1-Valuation_RPO_NPV!$C$46)-Valuation_RPO_NPV!$C$42*Valuation_RPO_NPV!$C$45)/($B18-Valuation_RPO_NPV!$C$44)+(-(Inputs!$B$78-Inputs!$B$79)-5000-548))/2914</f>
        <v/>
      </c>
      <c r="E18" s="21">
        <f>(SUMPRODUCT(Valuation_RPO_NPV!$C$29:$L$29+Valuation_RPO_NPV!$C$18:$L$18*E$14,1/(1+$B18)^$C$21:$L$21)+(Valuation_RPO_NPV!$C$42*Valuation_RPO_NPV!$C$43*(1-Valuation_RPO_NPV!$C$46)-Valuation_RPO_NPV!$C$42*Valuation_RPO_NPV!$C$45)/($B18-Valuation_RPO_NPV!$C$44)+(-(Inputs!$B$78-Inputs!$B$79)-5000-548))/2914</f>
        <v/>
      </c>
      <c r="F18" s="21">
        <f>(SUMPRODUCT(Valuation_RPO_NPV!$C$29:$L$29+Valuation_RPO_NPV!$C$18:$L$18*F$14,1/(1+$B18)^$C$21:$L$21)+(Valuation_RPO_NPV!$C$42*Valuation_RPO_NPV!$C$43*(1-Valuation_RPO_NPV!$C$46)-Valuation_RPO_NPV!$C$42*Valuation_RPO_NPV!$C$45)/($B18-Valuation_RPO_NPV!$C$44)+(-(Inputs!$B$78-Inputs!$B$79)-5000-548))/2914</f>
        <v/>
      </c>
      <c r="G18" s="21">
        <f>(SUMPRODUCT(Valuation_RPO_NPV!$C$29:$L$29+Valuation_RPO_NPV!$C$18:$L$18*G$14,1/(1+$B18)^$C$21:$L$21)+(Valuation_RPO_NPV!$C$42*Valuation_RPO_NPV!$C$43*(1-Valuation_RPO_NPV!$C$46)-Valuation_RPO_NPV!$C$42*Valuation_RPO_NPV!$C$45)/($B18-Valuation_RPO_NPV!$C$44)+(-(Inputs!$B$78-Inputs!$B$79)-5000-548))/2914</f>
        <v/>
      </c>
    </row>
    <row r="19">
      <c r="B19" s="29" t="n">
        <v>0.125</v>
      </c>
      <c r="C19" s="21">
        <f>(SUMPRODUCT(Valuation_RPO_NPV!$C$29:$L$29+Valuation_RPO_NPV!$C$18:$L$18*C$14,1/(1+$B19)^$C$21:$L$21)+(Valuation_RPO_NPV!$C$42*Valuation_RPO_NPV!$C$43*(1-Valuation_RPO_NPV!$C$46)-Valuation_RPO_NPV!$C$42*Valuation_RPO_NPV!$C$45)/($B19-Valuation_RPO_NPV!$C$44)+(-(Inputs!$B$78-Inputs!$B$79)-5000-548))/2914</f>
        <v/>
      </c>
      <c r="D19" s="21">
        <f>(SUMPRODUCT(Valuation_RPO_NPV!$C$29:$L$29+Valuation_RPO_NPV!$C$18:$L$18*D$14,1/(1+$B19)^$C$21:$L$21)+(Valuation_RPO_NPV!$C$42*Valuation_RPO_NPV!$C$43*(1-Valuation_RPO_NPV!$C$46)-Valuation_RPO_NPV!$C$42*Valuation_RPO_NPV!$C$45)/($B19-Valuation_RPO_NPV!$C$44)+(-(Inputs!$B$78-Inputs!$B$79)-5000-548))/2914</f>
        <v/>
      </c>
      <c r="E19" s="21">
        <f>(SUMPRODUCT(Valuation_RPO_NPV!$C$29:$L$29+Valuation_RPO_NPV!$C$18:$L$18*E$14,1/(1+$B19)^$C$21:$L$21)+(Valuation_RPO_NPV!$C$42*Valuation_RPO_NPV!$C$43*(1-Valuation_RPO_NPV!$C$46)-Valuation_RPO_NPV!$C$42*Valuation_RPO_NPV!$C$45)/($B19-Valuation_RPO_NPV!$C$44)+(-(Inputs!$B$78-Inputs!$B$79)-5000-548))/2914</f>
        <v/>
      </c>
      <c r="F19" s="21">
        <f>(SUMPRODUCT(Valuation_RPO_NPV!$C$29:$L$29+Valuation_RPO_NPV!$C$18:$L$18*F$14,1/(1+$B19)^$C$21:$L$21)+(Valuation_RPO_NPV!$C$42*Valuation_RPO_NPV!$C$43*(1-Valuation_RPO_NPV!$C$46)-Valuation_RPO_NPV!$C$42*Valuation_RPO_NPV!$C$45)/($B19-Valuation_RPO_NPV!$C$44)+(-(Inputs!$B$78-Inputs!$B$79)-5000-548))/2914</f>
        <v/>
      </c>
      <c r="G19" s="21">
        <f>(SUMPRODUCT(Valuation_RPO_NPV!$C$29:$L$29+Valuation_RPO_NPV!$C$18:$L$18*G$14,1/(1+$B19)^$C$21:$L$21)+(Valuation_RPO_NPV!$C$42*Valuation_RPO_NPV!$C$43*(1-Valuation_RPO_NPV!$C$46)-Valuation_RPO_NPV!$C$42*Valuation_RPO_NPV!$C$45)/($B19-Valuation_RPO_NPV!$C$44)+(-(Inputs!$B$78-Inputs!$B$79)-5000-548))/2914</f>
        <v/>
      </c>
    </row>
    <row r="21">
      <c r="A21" s="38" t="inlineStr">
        <is>
          <t>exponents (yrs 1-10) -&gt;</t>
        </is>
      </c>
      <c r="C21" s="53" t="n">
        <v>0.5</v>
      </c>
      <c r="D21" s="53" t="n">
        <v>1.5</v>
      </c>
      <c r="E21" s="53" t="n">
        <v>2.5</v>
      </c>
      <c r="F21" s="53" t="n">
        <v>3.5</v>
      </c>
      <c r="G21" s="53" t="n">
        <v>4.5</v>
      </c>
      <c r="H21" s="53" t="n">
        <v>5.5</v>
      </c>
      <c r="I21" s="53" t="n">
        <v>6.5</v>
      </c>
      <c r="J21" s="53" t="n">
        <v>7.5</v>
      </c>
      <c r="K21" s="53" t="n">
        <v>8.5</v>
      </c>
      <c r="L21" s="53" t="n">
        <v>9.5</v>
      </c>
    </row>
    <row r="22">
      <c r="A22" s="10" t="inlineStr">
        <is>
          <t>C. VALUES — RPO haircut x WACC (each cell requires a full model re-solve; produced by valuation.py)</t>
        </is>
      </c>
      <c r="B22" s="11" t="n"/>
      <c r="C22" s="11" t="n"/>
      <c r="D22" s="11" t="n"/>
      <c r="E22" s="11" t="n"/>
      <c r="F22" s="11" t="n"/>
      <c r="G22" s="11" t="n"/>
      <c r="H22" s="11" t="n"/>
      <c r="I22" s="11" t="n"/>
      <c r="J22" s="11" t="n"/>
      <c r="K22" s="11" t="n"/>
      <c r="L22" s="11" t="n"/>
      <c r="M22" s="11" t="n"/>
    </row>
    <row r="23">
      <c r="B23" s="6" t="inlineStr">
        <is>
          <t>WACC \ haircut</t>
        </is>
      </c>
      <c r="C23" s="55" t="n">
        <v>0</v>
      </c>
      <c r="D23" s="55" t="n">
        <v>0.05</v>
      </c>
      <c r="E23" s="55" t="n">
        <v>0.1</v>
      </c>
      <c r="F23" s="55" t="n">
        <v>0.2</v>
      </c>
      <c r="G23" s="55" t="n">
        <v>0.3</v>
      </c>
    </row>
    <row r="24">
      <c r="B24" s="56" t="n">
        <v>0.095</v>
      </c>
      <c r="C24" s="30" t="n">
        <v>57.70021162120251</v>
      </c>
      <c r="D24" s="30" t="n">
        <v>56.02626017983119</v>
      </c>
      <c r="E24" s="30" t="n">
        <v>54.43740406532198</v>
      </c>
      <c r="F24" s="30" t="n">
        <v>51.08971313350811</v>
      </c>
      <c r="G24" s="30" t="n">
        <v>46.64382414136902</v>
      </c>
    </row>
    <row r="25">
      <c r="B25" s="56" t="n">
        <v>0.103</v>
      </c>
      <c r="C25" s="30" t="n">
        <v>50.06771226404228</v>
      </c>
      <c r="D25" s="30" t="n">
        <v>48.44613752368446</v>
      </c>
      <c r="E25" s="30" t="n">
        <v>46.90794965757433</v>
      </c>
      <c r="F25" s="30" t="n">
        <v>43.6610486053053</v>
      </c>
      <c r="G25" s="30" t="n">
        <v>39.33518294828125</v>
      </c>
    </row>
    <row r="26">
      <c r="B26" s="56" t="n">
        <v>0.115</v>
      </c>
      <c r="C26" s="30" t="n">
        <v>40.66874273500436</v>
      </c>
      <c r="D26" s="30" t="n">
        <v>39.12062525220793</v>
      </c>
      <c r="E26" s="30" t="n">
        <v>37.65335614270833</v>
      </c>
      <c r="F26" s="30" t="n">
        <v>34.54748921552409</v>
      </c>
      <c r="G26" s="30" t="n">
        <v>30.39095050772992</v>
      </c>
    </row>
    <row r="29">
      <c r="A29" s="10" t="inlineStr">
        <is>
          <t>DRIVER RANKING — swing in base-case contracted value per share</t>
        </is>
      </c>
      <c r="B29" s="11" t="n"/>
      <c r="C29" s="11" t="n"/>
      <c r="D29" s="11" t="n"/>
      <c r="E29" s="11" t="n"/>
      <c r="F29" s="11" t="n"/>
      <c r="G29" s="11" t="n"/>
      <c r="H29" s="11" t="n"/>
      <c r="I29" s="11" t="n"/>
      <c r="J29" s="11" t="n"/>
      <c r="K29" s="11" t="n"/>
      <c r="L29" s="11" t="n"/>
      <c r="M29" s="11" t="n"/>
    </row>
    <row r="30">
      <c r="A30" s="46" t="inlineStr">
        <is>
          <t>Driver</t>
        </is>
      </c>
      <c r="B30" s="46" t="inlineStr"/>
      <c r="C30" s="46" t="inlineStr">
        <is>
          <t>Low</t>
        </is>
      </c>
      <c r="D30" s="46" t="inlineStr">
        <is>
          <t>High</t>
        </is>
      </c>
      <c r="E30" s="46" t="inlineStr">
        <is>
          <t>Swing $</t>
        </is>
      </c>
      <c r="F30" s="46" t="inlineStr">
        <is>
          <t>Swing %</t>
        </is>
      </c>
      <c r="G30" s="46" t="inlineStr">
        <is>
          <t>Range tested</t>
        </is>
      </c>
    </row>
    <row r="31">
      <c r="A31" s="2" t="inlineStr">
        <is>
          <t>WACC</t>
        </is>
      </c>
      <c r="C31" s="30" t="n">
        <v>32.73043230786106</v>
      </c>
      <c r="D31" s="30" t="n">
        <v>67.66656223210491</v>
      </c>
      <c r="E31" s="30" t="n">
        <v>34.93612992424385</v>
      </c>
      <c r="F31" s="26" t="n">
        <v>0.7211334424166259</v>
      </c>
      <c r="G31" s="38" t="inlineStr">
        <is>
          <t>12.5% -&gt; 8.5%</t>
        </is>
      </c>
    </row>
    <row r="32">
      <c r="A32" s="2" t="inlineStr">
        <is>
          <t>Legacy business terminal growth</t>
        </is>
      </c>
      <c r="C32" s="30" t="n">
        <v>34.08431115877259</v>
      </c>
      <c r="D32" s="30" t="n">
        <v>61.7849296817807</v>
      </c>
      <c r="E32" s="30" t="n">
        <v>27.7006185230081</v>
      </c>
      <c r="F32" s="26" t="n">
        <v>0.5717817753678662</v>
      </c>
      <c r="G32" s="38" t="inlineStr">
        <is>
          <t>-1% -&gt; +3%</t>
        </is>
      </c>
    </row>
    <row r="33">
      <c r="A33" s="2" t="inlineStr">
        <is>
          <t>Backlog EBITDA margin</t>
        </is>
      </c>
      <c r="C33" s="30" t="n">
        <v>38.31709804979638</v>
      </c>
      <c r="D33" s="30" t="n">
        <v>58.50604343766037</v>
      </c>
      <c r="E33" s="30" t="n">
        <v>20.188945387864</v>
      </c>
      <c r="F33" s="26" t="n">
        <v>0.4167297212908661</v>
      </c>
      <c r="G33" s="38" t="inlineStr">
        <is>
          <t>-8pp -&gt; +8pp</t>
        </is>
      </c>
    </row>
    <row r="34">
      <c r="A34" s="2" t="inlineStr">
        <is>
          <t>Legacy business EBITDA margin</t>
        </is>
      </c>
      <c r="C34" s="30" t="n">
        <v>38.78041717676988</v>
      </c>
      <c r="D34" s="30" t="n">
        <v>58.11185787059904</v>
      </c>
      <c r="E34" s="30" t="n">
        <v>19.33144069382916</v>
      </c>
      <c r="F34" s="26" t="n">
        <v>0.3990295549233075</v>
      </c>
      <c r="G34" s="38" t="inlineStr">
        <is>
          <t>38% -&gt; 50%</t>
        </is>
      </c>
    </row>
    <row r="35">
      <c r="A35" s="2" t="inlineStr">
        <is>
          <t>Effective asset turn (capital intensity)</t>
        </is>
      </c>
      <c r="C35" s="30" t="n">
        <v>37.24033106630336</v>
      </c>
      <c r="D35" s="30" t="n">
        <v>55.44991681975759</v>
      </c>
      <c r="E35" s="30" t="n">
        <v>18.20958575345423</v>
      </c>
      <c r="F35" s="26" t="n">
        <v>0.3758728081170946</v>
      </c>
      <c r="G35" s="38" t="inlineStr">
        <is>
          <t>0.28 -&gt; 0.44</t>
        </is>
      </c>
    </row>
    <row r="36">
      <c r="A36" s="2" t="inlineStr">
        <is>
          <t>RPO haircut / counterparty risk</t>
        </is>
      </c>
      <c r="C36" s="30" t="n">
        <v>39.33518294828125</v>
      </c>
      <c r="D36" s="30" t="n">
        <v>50.06771226404228</v>
      </c>
      <c r="E36" s="30" t="n">
        <v>10.73252931576103</v>
      </c>
      <c r="F36" s="26" t="n">
        <v>0.2215352939233614</v>
      </c>
      <c r="G36" s="38" t="inlineStr">
        <is>
          <t>30% -&gt; 0%</t>
        </is>
      </c>
    </row>
    <row r="38">
      <c r="A38" s="6" t="inlineStr">
        <is>
          <t>Base contracted value per share $48.45  |  market $151.94</t>
        </is>
      </c>
    </row>
    <row r="39">
      <c r="A39" s="38" t="inlineStr">
        <is>
          <t>The single largest driver of the answer is the discount rate, not anything about Oracle. That is the most important thing this table says.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52" customWidth="1" min="1" max="1"/>
    <col width="12" customWidth="1" min="2" max="2"/>
    <col width="12" customWidth="1" min="3" max="3"/>
    <col width="12" customWidth="1" min="4" max="4"/>
    <col width="12" customWidth="1" min="5" max="5"/>
    <col width="12" customWidth="1" min="6" max="6"/>
    <col width="12" customWidth="1" min="7" max="7"/>
    <col width="90" customWidth="1" min="8" max="8"/>
    <col width="12" customWidth="1" min="9" max="9"/>
    <col width="12" customWidth="1" min="10" max="10"/>
    <col width="12" customWidth="1" min="11" max="11"/>
    <col width="12" customWidth="1" min="12" max="12"/>
    <col width="12" customWidth="1" min="13" max="13"/>
    <col width="76" customWidth="1" min="15" max="15"/>
  </cols>
  <sheetData>
    <row r="1">
      <c r="A1" s="1" t="inlineStr">
        <is>
          <t>ROIC BREAKEVEN — the central question, answered as a breakeven rather than a point estimate</t>
        </is>
      </c>
    </row>
    <row r="2">
      <c r="A2" s="38" t="inlineStr">
        <is>
          <t>Oracle does not disclose OCI revenue per dollar of plant, OCI utilisation, or OCI cost of revenue. A point estimate of incremental ROIC is therefore manufacturable but not defensible. The breakeven is.</t>
        </is>
      </c>
    </row>
    <row r="4">
      <c r="A4" s="10" t="inlineStr">
        <is>
          <t>INPUTS</t>
        </is>
      </c>
      <c r="B4" s="11" t="n"/>
      <c r="C4" s="11" t="n"/>
      <c r="D4" s="11" t="n"/>
      <c r="E4" s="11" t="n"/>
      <c r="F4" s="11" t="n"/>
      <c r="G4" s="11" t="n"/>
      <c r="H4" s="11" t="n"/>
    </row>
    <row r="5">
      <c r="A5" s="2" t="inlineStr">
        <is>
          <t>WACC</t>
        </is>
      </c>
      <c r="C5" s="49">
        <f>Inputs!$B$82</f>
        <v/>
      </c>
    </row>
    <row r="6">
      <c r="A6" s="2" t="inlineStr">
        <is>
          <t>Blended asset life (years)</t>
        </is>
      </c>
      <c r="C6" s="28" t="n">
        <v>7</v>
      </c>
      <c r="H6" s="13" t="inlineStr">
        <is>
          <t>62% equipment at 6 years, 30% buildings at 25 years, 8% land.</t>
        </is>
      </c>
    </row>
    <row r="7">
      <c r="A7" s="2" t="inlineStr">
        <is>
          <t>Opex allocated to IaaS (% of IaaS revenue)</t>
        </is>
      </c>
      <c r="C7" s="33" t="n">
        <v>0.12</v>
      </c>
      <c r="H7" s="13" t="inlineStr">
        <is>
          <t>S&amp;M + R&amp;D + G&amp;A allocated to the infrastructure business. Analyst estimate.</t>
        </is>
      </c>
    </row>
    <row r="8">
      <c r="A8" s="2" t="inlineStr">
        <is>
          <t>Tax rate</t>
        </is>
      </c>
      <c r="C8" s="26" t="n">
        <v>0.2</v>
      </c>
    </row>
    <row r="9">
      <c r="A9" s="2" t="inlineStr">
        <is>
          <t>Invested capital as % of gross PP&amp;E</t>
        </is>
      </c>
      <c r="C9" s="26" t="n">
        <v>0.55</v>
      </c>
      <c r="H9" s="13" t="inlineStr">
        <is>
          <t>Average net book value over the asset life, plus working capital.</t>
        </is>
      </c>
    </row>
    <row r="11">
      <c r="A11" s="2" t="inlineStr">
        <is>
          <t>DERIVED FY2026A IaaS gross margin</t>
        </is>
      </c>
      <c r="C11" s="35">
        <f>Historicals!D48</f>
        <v/>
      </c>
      <c r="H11" s="13" t="inlineStr">
        <is>
          <t>From the Historicals tab. Depends on the assumed support / licence / SaaS margins shown there.</t>
        </is>
      </c>
    </row>
    <row r="14">
      <c r="A14" s="10" t="inlineStr">
        <is>
          <t>REQUIRED IaaS GROSS MARGIN (depreciation INSIDE cost of revenue, as Oracle reports it) TO EARN EXACTLY WACC</t>
        </is>
      </c>
      <c r="B14" s="11" t="n"/>
      <c r="C14" s="11" t="n"/>
      <c r="D14" s="11" t="n"/>
      <c r="E14" s="11" t="n"/>
      <c r="F14" s="11" t="n"/>
      <c r="G14" s="11" t="n"/>
      <c r="H14" s="11" t="n"/>
    </row>
    <row r="15">
      <c r="A15" s="6" t="inlineStr">
        <is>
          <t>utilisation \ asset turn at full utilisation</t>
        </is>
      </c>
      <c r="C15" s="27" t="n">
        <v>0.4</v>
      </c>
      <c r="D15" s="27" t="n">
        <v>0.45</v>
      </c>
      <c r="E15" s="27" t="n">
        <v>0.5</v>
      </c>
      <c r="F15" s="27" t="n">
        <v>0.55</v>
      </c>
      <c r="G15" s="27" t="n">
        <v>0.6</v>
      </c>
    </row>
    <row r="16">
      <c r="B16" s="26" t="n">
        <v>0.65</v>
      </c>
      <c r="C16" s="14">
        <f>$C$5*$C$9/((1-$C$8)*C$15*$B16)+$C$7</f>
        <v/>
      </c>
      <c r="D16" s="14">
        <f>$C$5*$C$9/((1-$C$8)*D$15*$B16)+$C$7</f>
        <v/>
      </c>
      <c r="E16" s="14">
        <f>$C$5*$C$9/((1-$C$8)*E$15*$B16)+$C$7</f>
        <v/>
      </c>
      <c r="F16" s="14">
        <f>$C$5*$C$9/((1-$C$8)*F$15*$B16)+$C$7</f>
        <v/>
      </c>
      <c r="G16" s="14">
        <f>$C$5*$C$9/((1-$C$8)*G$15*$B16)+$C$7</f>
        <v/>
      </c>
    </row>
    <row r="17">
      <c r="B17" s="26" t="n">
        <v>0.75</v>
      </c>
      <c r="C17" s="14">
        <f>$C$5*$C$9/((1-$C$8)*C$15*$B17)+$C$7</f>
        <v/>
      </c>
      <c r="D17" s="14">
        <f>$C$5*$C$9/((1-$C$8)*D$15*$B17)+$C$7</f>
        <v/>
      </c>
      <c r="E17" s="14">
        <f>$C$5*$C$9/((1-$C$8)*E$15*$B17)+$C$7</f>
        <v/>
      </c>
      <c r="F17" s="14">
        <f>$C$5*$C$9/((1-$C$8)*F$15*$B17)+$C$7</f>
        <v/>
      </c>
      <c r="G17" s="14">
        <f>$C$5*$C$9/((1-$C$8)*G$15*$B17)+$C$7</f>
        <v/>
      </c>
    </row>
    <row r="18">
      <c r="B18" s="26" t="n">
        <v>0.85</v>
      </c>
      <c r="C18" s="14">
        <f>$C$5*$C$9/((1-$C$8)*C$15*$B18)+$C$7</f>
        <v/>
      </c>
      <c r="D18" s="14">
        <f>$C$5*$C$9/((1-$C$8)*D$15*$B18)+$C$7</f>
        <v/>
      </c>
      <c r="E18" s="14">
        <f>$C$5*$C$9/((1-$C$8)*E$15*$B18)+$C$7</f>
        <v/>
      </c>
      <c r="F18" s="14">
        <f>$C$5*$C$9/((1-$C$8)*F$15*$B18)+$C$7</f>
        <v/>
      </c>
      <c r="G18" s="14">
        <f>$C$5*$C$9/((1-$C$8)*G$15*$B18)+$C$7</f>
        <v/>
      </c>
    </row>
    <row r="19">
      <c r="B19" s="26" t="n">
        <v>0.95</v>
      </c>
      <c r="C19" s="14">
        <f>$C$5*$C$9/((1-$C$8)*C$15*$B19)+$C$7</f>
        <v/>
      </c>
      <c r="D19" s="14">
        <f>$C$5*$C$9/((1-$C$8)*D$15*$B19)+$C$7</f>
        <v/>
      </c>
      <c r="E19" s="14">
        <f>$C$5*$C$9/((1-$C$8)*E$15*$B19)+$C$7</f>
        <v/>
      </c>
      <c r="F19" s="14">
        <f>$C$5*$C$9/((1-$C$8)*F$15*$B19)+$C$7</f>
        <v/>
      </c>
      <c r="G19" s="14">
        <f>$C$5*$C$9/((1-$C$8)*G$15*$B19)+$C$7</f>
        <v/>
      </c>
    </row>
    <row r="21">
      <c r="A21" s="4" t="inlineStr">
        <is>
          <t>Reading this table</t>
        </is>
      </c>
    </row>
    <row r="22">
      <c r="A22" s="2" t="inlineStr">
        <is>
          <t>The derived FY2026 OCI gross margin is ~30%. The required margin ranges from ~24% to ~39% across the plausible grid.</t>
        </is>
      </c>
    </row>
    <row r="23">
      <c r="A23" s="2" t="inlineStr">
        <is>
          <t>Oracle is therefore earning approximately its cost of capital on the infrastructure business — the sign of the answer</t>
        </is>
      </c>
    </row>
    <row r="24">
      <c r="A24" s="2" t="inlineStr">
        <is>
          <t>depends on utilisation and asset turn, neither of which is disclosed by Oracle or derivable from public filings.</t>
        </is>
      </c>
    </row>
    <row r="25">
      <c r="A25" s="2" t="inlineStr">
        <is>
          <t>What would settle it: OCI revenue per dollar of in-service plant; OCI utilisation; OCI cost of revenue; the contracted</t>
        </is>
      </c>
    </row>
    <row r="26">
      <c r="A26" s="2" t="inlineStr">
        <is>
          <t>price per GPU-hour in the large AI agreements. None of the four is in the 10-K. The Investor Day of 28 October 2026 is</t>
        </is>
      </c>
    </row>
    <row r="27">
      <c r="A27" s="2" t="inlineStr">
        <is>
          <t>the first realistic opportunity to obtain any of them.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9"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COMPARABLE COMPANIES — ENTERPRISE SOFTWARE</t>
        </is>
      </c>
    </row>
    <row r="2">
      <c r="A2" s="38" t="inlineStr">
        <is>
          <t>SOURCE: stockanalysis.com, single source, pulled 2026-08-27 close / 2026-08-28 estimates.  Calendarised to a common NTM window of 28 Aug 2026 – 27 Aug 2027.</t>
        </is>
      </c>
    </row>
    <row r="3">
      <c r="A3" s="38" t="inlineStr">
        <is>
          <t>Lead with EV/EBITDA and EV/EBIT. P/E is distorted by the buildout; ORCL P/B and ROE ARE usable (see note below).</t>
        </is>
      </c>
    </row>
    <row r="5">
      <c r="A5" s="4" t="inlineStr">
        <is>
          <t>[C] = consensus or reported, taken directly from the source.   [E] = ANALYST ESTIMATE — the FY+2 leg of every calendarised metric is my own, because FY2028 consensus is paywalled at source.</t>
        </is>
      </c>
    </row>
    <row r="7">
      <c r="A7" s="57" t="inlineStr">
        <is>
          <t>Ticker</t>
        </is>
      </c>
      <c r="B7" s="57" t="inlineStr">
        <is>
          <t>FYE mth</t>
        </is>
      </c>
      <c r="C7" s="57" t="inlineStr">
        <is>
          <t>Price</t>
        </is>
      </c>
      <c r="D7" s="57" t="inlineStr">
        <is>
          <t>EV $m</t>
        </is>
      </c>
      <c r="E7" s="57" t="inlineStr">
        <is>
          <t>NTM P/E</t>
        </is>
      </c>
      <c r="F7" s="57" t="inlineStr">
        <is>
          <t>NTM EV/EBITDA</t>
        </is>
      </c>
      <c r="G7" s="57" t="inlineStr">
        <is>
          <t>NTM EV/EBIT</t>
        </is>
      </c>
      <c r="H7" s="57" t="inlineStr">
        <is>
          <t>NTM EV/Sales</t>
        </is>
      </c>
      <c r="I7" s="57" t="inlineStr">
        <is>
          <t>NTM EV/FCF</t>
        </is>
      </c>
      <c r="J7" s="57" t="inlineStr">
        <is>
          <t>P/B</t>
        </is>
      </c>
      <c r="K7" s="57" t="inlineStr">
        <is>
          <t>Net debt/EBITDA</t>
        </is>
      </c>
      <c r="L7" s="57" t="inlineStr">
        <is>
          <t>NTM FCF margin</t>
        </is>
      </c>
      <c r="M7" s="57" t="inlineStr">
        <is>
          <t>Gross margin</t>
        </is>
      </c>
      <c r="N7" s="57" t="inlineStr">
        <is>
          <t>Revenue growth</t>
        </is>
      </c>
      <c r="O7" s="57" t="inlineStr">
        <is>
          <t>Capex/revenue</t>
        </is>
      </c>
      <c r="P7" s="57" t="inlineStr">
        <is>
          <t>ROIC</t>
        </is>
      </c>
      <c r="Q7" s="57" t="inlineStr">
        <is>
          <t>PEG (FY1 basis)</t>
        </is>
      </c>
      <c r="R7" s="57" t="inlineStr">
        <is>
          <t>Analysts</t>
        </is>
      </c>
    </row>
    <row r="8">
      <c r="A8" s="58" t="inlineStr">
        <is>
          <t>[C]</t>
        </is>
      </c>
      <c r="B8" s="58" t="inlineStr">
        <is>
          <t>[C]</t>
        </is>
      </c>
      <c r="C8" s="58" t="inlineStr">
        <is>
          <t>[C]</t>
        </is>
      </c>
      <c r="D8" s="58" t="inlineStr">
        <is>
          <t>[C]</t>
        </is>
      </c>
      <c r="E8" s="58" t="inlineStr">
        <is>
          <t>[E]</t>
        </is>
      </c>
      <c r="F8" s="58" t="inlineStr">
        <is>
          <t>[E]</t>
        </is>
      </c>
      <c r="G8" s="58" t="inlineStr">
        <is>
          <t>[E]</t>
        </is>
      </c>
      <c r="H8" s="58" t="inlineStr">
        <is>
          <t>[E]</t>
        </is>
      </c>
      <c r="I8" s="58" t="inlineStr">
        <is>
          <t>[E]</t>
        </is>
      </c>
      <c r="J8" s="58" t="inlineStr">
        <is>
          <t>[C]</t>
        </is>
      </c>
      <c r="K8" s="58" t="inlineStr">
        <is>
          <t>[C]</t>
        </is>
      </c>
      <c r="L8" s="58" t="inlineStr">
        <is>
          <t>[E]</t>
        </is>
      </c>
      <c r="M8" s="58" t="inlineStr">
        <is>
          <t>[C]</t>
        </is>
      </c>
      <c r="N8" s="58" t="inlineStr">
        <is>
          <t>[C]</t>
        </is>
      </c>
      <c r="O8" s="58" t="inlineStr">
        <is>
          <t>[C]</t>
        </is>
      </c>
      <c r="P8" s="58" t="inlineStr">
        <is>
          <t>[C]</t>
        </is>
      </c>
      <c r="Q8" s="58" t="inlineStr">
        <is>
          <t>[E]</t>
        </is>
      </c>
      <c r="R8" s="58" t="inlineStr">
        <is>
          <t>[C]</t>
        </is>
      </c>
    </row>
    <row r="9">
      <c r="A9" s="59" t="inlineStr">
        <is>
          <t>ORCL</t>
        </is>
      </c>
      <c r="B9" s="60" t="n">
        <v>5</v>
      </c>
      <c r="C9" s="61" t="n">
        <v>151.9652777777778</v>
      </c>
      <c r="D9" s="62" t="n">
        <v>573200</v>
      </c>
      <c r="E9" s="63" t="n">
        <v>17.79393030178207</v>
      </c>
      <c r="F9" s="63" t="n">
        <v>11.60199303464378</v>
      </c>
      <c r="G9" s="63" t="n">
        <v>15.04995253961953</v>
      </c>
      <c r="H9" s="63" t="n">
        <v>6.089596466513443</v>
      </c>
      <c r="I9" s="64" t="inlineStr">
        <is>
          <t>n/m</t>
        </is>
      </c>
      <c r="J9" s="63" t="n">
        <v>11.65</v>
      </c>
      <c r="K9" s="63" t="n">
        <v>5.03</v>
      </c>
      <c r="L9" s="65" t="n">
        <v>-0.5379604770331521</v>
      </c>
      <c r="M9" s="65" t="n">
        <v>0.5998</v>
      </c>
      <c r="N9" s="65" t="n">
        <v>0.3263</v>
      </c>
      <c r="O9" s="65" t="n">
        <v>0.8263064133016627</v>
      </c>
      <c r="P9" s="65" t="n">
        <v>0.1148</v>
      </c>
      <c r="Q9" s="66" t="n">
        <v>3.401382749208836</v>
      </c>
      <c r="R9" s="60" t="n">
        <v>42</v>
      </c>
    </row>
    <row r="10">
      <c r="A10" s="67" t="inlineStr">
        <is>
          <t>MSFT</t>
        </is>
      </c>
      <c r="B10" s="68" t="n">
        <v>6</v>
      </c>
      <c r="C10" s="69" t="n">
        <v>504.7106325706595</v>
      </c>
      <c r="D10" s="31" t="n">
        <v>3800000</v>
      </c>
      <c r="E10" s="70" t="n">
        <v>24.90638597593928</v>
      </c>
      <c r="F10" s="70" t="n">
        <v>16.2504361992832</v>
      </c>
      <c r="G10" s="70" t="n">
        <v>20.33133700407294</v>
      </c>
      <c r="H10" s="70" t="n">
        <v>9.515043891008318</v>
      </c>
      <c r="I10" s="70" t="n">
        <v>114.8389565476566</v>
      </c>
      <c r="J10" s="70" t="n">
        <v>8.48</v>
      </c>
      <c r="K10" s="70" t="n">
        <v>0.64</v>
      </c>
      <c r="L10" s="26" t="n">
        <v>0.08285554116002179</v>
      </c>
      <c r="M10" s="26" t="n">
        <v>0.6629999999999999</v>
      </c>
      <c r="N10" s="26" t="n">
        <v>0.1785</v>
      </c>
      <c r="O10" s="26" t="n">
        <v>0.349415380906461</v>
      </c>
      <c r="P10" s="26" t="n">
        <v>0.2618</v>
      </c>
      <c r="Q10" s="27" t="n">
        <v>1.785811931359532</v>
      </c>
      <c r="R10" s="68" t="n">
        <v>49</v>
      </c>
    </row>
    <row r="11">
      <c r="A11" s="67" t="inlineStr">
        <is>
          <t>CRM</t>
        </is>
      </c>
      <c r="B11" s="68" t="n">
        <v>1</v>
      </c>
      <c r="C11" s="69" t="n">
        <v>252.051282051282</v>
      </c>
      <c r="D11" s="31" t="n">
        <v>236770</v>
      </c>
      <c r="E11" s="70" t="n">
        <v>14.08885029232649</v>
      </c>
      <c r="F11" s="70" t="n">
        <v>10.97937150246353</v>
      </c>
      <c r="G11" s="70" t="n">
        <v>13.9523193401849</v>
      </c>
      <c r="H11" s="70" t="n">
        <v>4.86363230810126</v>
      </c>
      <c r="I11" s="70" t="n">
        <v>14.85126072049211</v>
      </c>
      <c r="J11" s="70" t="n">
        <v>5.39</v>
      </c>
      <c r="K11" s="70" t="n">
        <v>2.98</v>
      </c>
      <c r="L11" s="26" t="n">
        <v>0.3274895242657956</v>
      </c>
      <c r="M11" s="26" t="n">
        <v>0.8054000000000001</v>
      </c>
      <c r="N11" s="26" t="n">
        <v>0.1137</v>
      </c>
      <c r="O11" s="26" t="n">
        <v>0.01435107151456778</v>
      </c>
      <c r="P11" s="26" t="n">
        <v>0.1101</v>
      </c>
      <c r="Q11" s="27" t="n">
        <v>0.4490568198766308</v>
      </c>
      <c r="R11" s="68" t="n">
        <v>36</v>
      </c>
    </row>
    <row r="12">
      <c r="A12" s="67" t="inlineStr">
        <is>
          <t>SAP</t>
        </is>
      </c>
      <c r="B12" s="68" t="n">
        <v>12</v>
      </c>
      <c r="C12" s="69" t="n">
        <v>222.0086956521739</v>
      </c>
      <c r="D12" s="31" t="n">
        <v>253940</v>
      </c>
      <c r="E12" s="70" t="n">
        <v>29.03206585527762</v>
      </c>
      <c r="F12" s="70" t="n">
        <v>18.7099835078036</v>
      </c>
      <c r="G12" s="70" t="n">
        <v>20.21956020832121</v>
      </c>
      <c r="H12" s="70" t="n">
        <v>5.992730937972846</v>
      </c>
      <c r="I12" s="70" t="n">
        <v>23.62984531331751</v>
      </c>
      <c r="J12" s="70" t="n">
        <v>4.94</v>
      </c>
      <c r="K12" s="70" t="n">
        <v>0.83</v>
      </c>
      <c r="L12" s="26" t="n">
        <v>0.2536085555581446</v>
      </c>
      <c r="M12" s="26" t="n">
        <v>0.7361</v>
      </c>
      <c r="N12" s="26" t="n">
        <v>0.09380000000000001</v>
      </c>
      <c r="O12" s="26" t="n">
        <v>0.02327255434782608</v>
      </c>
      <c r="P12" s="26" t="n">
        <v>0.182</v>
      </c>
      <c r="Q12" s="27" t="n">
        <v>1.952179590429189</v>
      </c>
      <c r="R12" s="68" t="n">
        <v>25</v>
      </c>
    </row>
    <row r="13">
      <c r="A13" s="67" t="inlineStr">
        <is>
          <t>IBM</t>
        </is>
      </c>
      <c r="B13" s="68" t="n">
        <v>12</v>
      </c>
      <c r="C13" s="69" t="n">
        <v>238.7887021960876</v>
      </c>
      <c r="D13" s="31" t="n">
        <v>282110</v>
      </c>
      <c r="E13" s="70" t="n">
        <v>18.42141937063366</v>
      </c>
      <c r="F13" s="70" t="n">
        <v>14.2897341014405</v>
      </c>
      <c r="G13" s="70" t="n">
        <v>17.91087086897437</v>
      </c>
      <c r="H13" s="70" t="n">
        <v>3.882475963414801</v>
      </c>
      <c r="I13" s="70" t="n">
        <v>17.32078403801978</v>
      </c>
      <c r="J13" s="70" t="n">
        <v>6.53</v>
      </c>
      <c r="K13" s="70" t="n">
        <v>3.67</v>
      </c>
      <c r="L13" s="26" t="n">
        <v>0.2241512829264898</v>
      </c>
      <c r="M13" s="26" t="n">
        <v>0.5916</v>
      </c>
      <c r="N13" s="26" t="n">
        <v>0.04219999999999999</v>
      </c>
      <c r="O13" s="26" t="n">
        <v>0.01628664495114007</v>
      </c>
      <c r="P13" s="26" t="n">
        <v>0.1396</v>
      </c>
      <c r="Q13" s="27" t="n">
        <v>3.071664002151908</v>
      </c>
      <c r="R13" s="68" t="n">
        <v>22</v>
      </c>
    </row>
    <row r="14">
      <c r="A14" s="67" t="inlineStr">
        <is>
          <t>NOW</t>
        </is>
      </c>
      <c r="B14" s="68" t="n">
        <v>12</v>
      </c>
      <c r="C14" s="69" t="n">
        <v>138.9514563106796</v>
      </c>
      <c r="D14" s="31" t="n">
        <v>144860</v>
      </c>
      <c r="E14" s="70" t="n">
        <v>30.40396758597761</v>
      </c>
      <c r="F14" s="70" t="n">
        <v>20.17634779468883</v>
      </c>
      <c r="G14" s="70" t="n">
        <v>25.24580061568662</v>
      </c>
      <c r="H14" s="70" t="n">
        <v>8.095735683740607</v>
      </c>
      <c r="I14" s="70" t="n">
        <v>22.83292763648826</v>
      </c>
      <c r="J14" s="70" t="n">
        <v>11.43</v>
      </c>
      <c r="K14" s="70" t="n">
        <v>2.77</v>
      </c>
      <c r="L14" s="26" t="n">
        <v>0.3545640669750637</v>
      </c>
      <c r="M14" s="26" t="n">
        <v>0.7863</v>
      </c>
      <c r="N14" s="26" t="n">
        <v>0.2215</v>
      </c>
      <c r="O14" s="26" t="n">
        <v>0.05481927710843373</v>
      </c>
      <c r="P14" s="26" t="n">
        <v>0.1028</v>
      </c>
      <c r="Q14" s="27" t="n">
        <v>2.152610779063111</v>
      </c>
      <c r="R14" s="68" t="n">
        <v>44</v>
      </c>
    </row>
    <row r="15">
      <c r="A15" s="67" t="inlineStr">
        <is>
          <t>WDAY</t>
        </is>
      </c>
      <c r="B15" s="68" t="n">
        <v>1</v>
      </c>
      <c r="C15" s="69" t="n">
        <v>193.5862655383245</v>
      </c>
      <c r="D15" s="31" t="n">
        <v>48180</v>
      </c>
      <c r="E15" s="70" t="n">
        <v>16.79674979208302</v>
      </c>
      <c r="F15" s="70" t="n">
        <v>12.30078929531515</v>
      </c>
      <c r="G15" s="70" t="n">
        <v>13.84032909788375</v>
      </c>
      <c r="H15" s="70" t="n">
        <v>4.284368596812551</v>
      </c>
      <c r="I15" s="70" t="n">
        <v>14.1449904302271</v>
      </c>
      <c r="J15" s="70" t="n">
        <v>7.21</v>
      </c>
      <c r="K15" s="70" t="n">
        <v>2.07</v>
      </c>
      <c r="L15" s="26" t="n">
        <v>0.3028894659169991</v>
      </c>
      <c r="M15" s="26" t="n">
        <v>0.7889</v>
      </c>
      <c r="N15" s="26" t="n">
        <v>0.117</v>
      </c>
      <c r="O15" s="26" t="n">
        <v>0.02481675392670157</v>
      </c>
      <c r="P15" s="26" t="n">
        <v>0.1835</v>
      </c>
      <c r="Q15" s="27" t="n">
        <v>1.084465860084593</v>
      </c>
      <c r="R15" s="68" t="n">
        <v>40</v>
      </c>
    </row>
    <row r="17">
      <c r="A17" s="6" t="inlineStr">
        <is>
          <t>Peer median (ex-ORCL)</t>
        </is>
      </c>
      <c r="E17" s="71" t="n">
        <v>24.90638597593928</v>
      </c>
      <c r="F17" s="71" t="n">
        <v>16.2504361992832</v>
      </c>
      <c r="G17" s="71" t="n">
        <v>20.21956020832121</v>
      </c>
      <c r="H17" s="71" t="n">
        <v>5.992730937972846</v>
      </c>
      <c r="J17" s="71" t="n">
        <v>7.21</v>
      </c>
      <c r="K17" s="71" t="n">
        <v>2.77</v>
      </c>
    </row>
    <row r="19">
      <c r="A19" s="4" t="inlineStr">
        <is>
          <t>Metrics the capital structure DOES break for ORCL</t>
        </is>
      </c>
    </row>
    <row r="20">
      <c r="A20" s="3" t="inlineStr">
        <is>
          <t>EV/FCF and P/FCF — free cash flow is deeply negative, so both are n/m. FCF-based screens will simply drop Oracle.</t>
        </is>
      </c>
    </row>
    <row r="21"/>
    <row r="23">
      <c r="A23" s="4" t="inlineStr">
        <is>
          <t>A correction to the brief</t>
        </is>
      </c>
    </row>
    <row r="24">
      <c r="A24" s="3" t="inlineStr">
        <is>
          <t>ORCL book equity is NOT negative. At 5/31/2026 total Oracle stockholders' equity was $42,508m (10-K R2), up from $20,451m. P/B of 11.7x and ROE of 53.4% are computable and meaningful. Equity was restored by two years of retained earnings and the near-total halt in buybacks ($95m in FY26).</t>
        </is>
      </c>
    </row>
    <row r="25"/>
    <row r="27">
      <c r="A27" s="4" t="inlineStr">
        <is>
          <t>What the table actually says</t>
        </is>
      </c>
    </row>
    <row r="28">
      <c r="A28" s="3" t="inlineStr">
        <is>
          <t>On EV/EBITDA — the metric to lead with — Oracle at 11.6x is the CHEAPEST large-cap in this set except CRM. It also carries by far the highest leverage (net debt/EBITDA 5.0x vs a peer median under 3x) and a capex/revenue ratio of 83% against a peer median of 2%. Those three facts together are the entire debate.</t>
        </is>
      </c>
    </row>
    <row r="29"/>
  </sheetData>
  <mergeCells count="3">
    <mergeCell ref="A28:N29"/>
    <mergeCell ref="A20:N21"/>
    <mergeCell ref="A24:N2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4"/>
  <sheetViews>
    <sheetView showGridLines="0" workbookViewId="0">
      <selection activeCell="A1" sqref="A1"/>
    </sheetView>
  </sheetViews>
  <sheetFormatPr baseColWidth="8" defaultRowHeight="15"/>
  <cols>
    <col width="9"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COMPARABLE COMPANIES — AI INFRASTRUCTURE / HYPERSCALE</t>
        </is>
      </c>
    </row>
    <row r="2">
      <c r="A2" s="38" t="inlineStr">
        <is>
          <t>SOURCE: stockanalysis.com, single source, pulled 2026-08-27 close / 2026-08-28 estimates.  Calendarised to a common NTM window of 28 Aug 2026 – 27 Aug 2027.</t>
        </is>
      </c>
    </row>
    <row r="3">
      <c r="A3" s="38" t="inlineStr">
        <is>
          <t>CRWV and NBIS are shown for completeness but are NOT valuation comparables: both have negative NTM EPS, negative free cash flow and capex above 100% of revenue.</t>
        </is>
      </c>
    </row>
    <row r="5">
      <c r="A5" s="4" t="inlineStr">
        <is>
          <t>[C] = consensus or reported, taken directly from the source.   [E] = ANALYST ESTIMATE — the FY+2 leg of every calendarised metric is my own, because FY2028 consensus is paywalled at source.</t>
        </is>
      </c>
    </row>
    <row r="7">
      <c r="A7" s="57" t="inlineStr">
        <is>
          <t>Ticker</t>
        </is>
      </c>
      <c r="B7" s="57" t="inlineStr">
        <is>
          <t>FYE mth</t>
        </is>
      </c>
      <c r="C7" s="57" t="inlineStr">
        <is>
          <t>Price</t>
        </is>
      </c>
      <c r="D7" s="57" t="inlineStr">
        <is>
          <t>EV $m</t>
        </is>
      </c>
      <c r="E7" s="57" t="inlineStr">
        <is>
          <t>NTM P/E</t>
        </is>
      </c>
      <c r="F7" s="57" t="inlineStr">
        <is>
          <t>NTM EV/EBITDA</t>
        </is>
      </c>
      <c r="G7" s="57" t="inlineStr">
        <is>
          <t>NTM EV/EBIT</t>
        </is>
      </c>
      <c r="H7" s="57" t="inlineStr">
        <is>
          <t>NTM EV/Sales</t>
        </is>
      </c>
      <c r="I7" s="57" t="inlineStr">
        <is>
          <t>NTM EV/FCF</t>
        </is>
      </c>
      <c r="J7" s="57" t="inlineStr">
        <is>
          <t>P/B</t>
        </is>
      </c>
      <c r="K7" s="57" t="inlineStr">
        <is>
          <t>Net debt/EBITDA</t>
        </is>
      </c>
      <c r="L7" s="57" t="inlineStr">
        <is>
          <t>NTM FCF margin</t>
        </is>
      </c>
      <c r="M7" s="57" t="inlineStr">
        <is>
          <t>Gross margin</t>
        </is>
      </c>
      <c r="N7" s="57" t="inlineStr">
        <is>
          <t>Revenue growth</t>
        </is>
      </c>
      <c r="O7" s="57" t="inlineStr">
        <is>
          <t>Capex/revenue</t>
        </is>
      </c>
      <c r="P7" s="57" t="inlineStr">
        <is>
          <t>ROIC</t>
        </is>
      </c>
      <c r="Q7" s="57" t="inlineStr">
        <is>
          <t>PEG (FY1 basis)</t>
        </is>
      </c>
      <c r="R7" s="57" t="inlineStr">
        <is>
          <t>Analysts</t>
        </is>
      </c>
    </row>
    <row r="8">
      <c r="A8" s="58" t="inlineStr">
        <is>
          <t>[C]</t>
        </is>
      </c>
      <c r="B8" s="58" t="inlineStr">
        <is>
          <t>[C]</t>
        </is>
      </c>
      <c r="C8" s="58" t="inlineStr">
        <is>
          <t>[C]</t>
        </is>
      </c>
      <c r="D8" s="58" t="inlineStr">
        <is>
          <t>[C]</t>
        </is>
      </c>
      <c r="E8" s="58" t="inlineStr">
        <is>
          <t>[E]</t>
        </is>
      </c>
      <c r="F8" s="58" t="inlineStr">
        <is>
          <t>[E]</t>
        </is>
      </c>
      <c r="G8" s="58" t="inlineStr">
        <is>
          <t>[E]</t>
        </is>
      </c>
      <c r="H8" s="58" t="inlineStr">
        <is>
          <t>[E]</t>
        </is>
      </c>
      <c r="I8" s="58" t="inlineStr">
        <is>
          <t>[E]</t>
        </is>
      </c>
      <c r="J8" s="58" t="inlineStr">
        <is>
          <t>[C]</t>
        </is>
      </c>
      <c r="K8" s="58" t="inlineStr">
        <is>
          <t>[C]</t>
        </is>
      </c>
      <c r="L8" s="58" t="inlineStr">
        <is>
          <t>[E]</t>
        </is>
      </c>
      <c r="M8" s="58" t="inlineStr">
        <is>
          <t>[C]</t>
        </is>
      </c>
      <c r="N8" s="58" t="inlineStr">
        <is>
          <t>[C]</t>
        </is>
      </c>
      <c r="O8" s="58" t="inlineStr">
        <is>
          <t>[C]</t>
        </is>
      </c>
      <c r="P8" s="58" t="inlineStr">
        <is>
          <t>[C]</t>
        </is>
      </c>
      <c r="Q8" s="58" t="inlineStr">
        <is>
          <t>[E]</t>
        </is>
      </c>
      <c r="R8" s="58" t="inlineStr">
        <is>
          <t>[C]</t>
        </is>
      </c>
    </row>
    <row r="9">
      <c r="A9" s="59" t="inlineStr">
        <is>
          <t>ORCL</t>
        </is>
      </c>
      <c r="B9" s="60" t="n">
        <v>5</v>
      </c>
      <c r="C9" s="61" t="n">
        <v>151.9652777777778</v>
      </c>
      <c r="D9" s="62" t="n">
        <v>573200</v>
      </c>
      <c r="E9" s="63" t="n">
        <v>17.79393030178207</v>
      </c>
      <c r="F9" s="63" t="n">
        <v>11.60199303464378</v>
      </c>
      <c r="G9" s="63" t="n">
        <v>15.04995253961953</v>
      </c>
      <c r="H9" s="63" t="n">
        <v>6.089596466513443</v>
      </c>
      <c r="I9" s="64" t="inlineStr">
        <is>
          <t>n/m</t>
        </is>
      </c>
      <c r="J9" s="63" t="n">
        <v>11.65</v>
      </c>
      <c r="K9" s="63" t="n">
        <v>5.03</v>
      </c>
      <c r="L9" s="65" t="n">
        <v>-0.5379604770331521</v>
      </c>
      <c r="M9" s="65" t="n">
        <v>0.5998</v>
      </c>
      <c r="N9" s="65" t="n">
        <v>0.3263</v>
      </c>
      <c r="O9" s="65" t="n">
        <v>0.8263064133016627</v>
      </c>
      <c r="P9" s="65" t="n">
        <v>0.1148</v>
      </c>
      <c r="Q9" s="66" t="n">
        <v>3.401382749208836</v>
      </c>
      <c r="R9" s="60" t="n">
        <v>42</v>
      </c>
    </row>
    <row r="10">
      <c r="A10" s="67" t="inlineStr">
        <is>
          <t>MSFT</t>
        </is>
      </c>
      <c r="B10" s="68" t="n">
        <v>6</v>
      </c>
      <c r="C10" s="69" t="n">
        <v>504.7106325706595</v>
      </c>
      <c r="D10" s="31" t="n">
        <v>3800000</v>
      </c>
      <c r="E10" s="70" t="n">
        <v>24.90638597593928</v>
      </c>
      <c r="F10" s="70" t="n">
        <v>16.2504361992832</v>
      </c>
      <c r="G10" s="70" t="n">
        <v>20.33133700407294</v>
      </c>
      <c r="H10" s="70" t="n">
        <v>9.515043891008318</v>
      </c>
      <c r="I10" s="70" t="n">
        <v>114.8389565476566</v>
      </c>
      <c r="J10" s="70" t="n">
        <v>8.48</v>
      </c>
      <c r="K10" s="70" t="n">
        <v>0.64</v>
      </c>
      <c r="L10" s="26" t="n">
        <v>0.08285554116002179</v>
      </c>
      <c r="M10" s="26" t="n">
        <v>0.6629999999999999</v>
      </c>
      <c r="N10" s="26" t="n">
        <v>0.1785</v>
      </c>
      <c r="O10" s="26" t="n">
        <v>0.349415380906461</v>
      </c>
      <c r="P10" s="26" t="n">
        <v>0.2618</v>
      </c>
      <c r="Q10" s="27" t="n">
        <v>1.785811931359532</v>
      </c>
      <c r="R10" s="68" t="n">
        <v>49</v>
      </c>
    </row>
    <row r="11">
      <c r="A11" s="67" t="inlineStr">
        <is>
          <t>AMZN</t>
        </is>
      </c>
      <c r="B11" s="68" t="n">
        <v>12</v>
      </c>
      <c r="C11" s="69" t="n">
        <v>255.7924003707136</v>
      </c>
      <c r="D11" s="31" t="n">
        <v>2890000</v>
      </c>
      <c r="E11" s="70" t="n">
        <v>18.68834225829232</v>
      </c>
      <c r="F11" s="70" t="n">
        <v>13.51197044506747</v>
      </c>
      <c r="G11" s="70" t="n">
        <v>24.01869209709144</v>
      </c>
      <c r="H11" s="70" t="n">
        <v>3.240021999304677</v>
      </c>
      <c r="I11" s="72" t="inlineStr">
        <is>
          <t>n/m</t>
        </is>
      </c>
      <c r="J11" s="70" t="n">
        <v>5.01</v>
      </c>
      <c r="K11" s="70" t="n">
        <v>1.35</v>
      </c>
      <c r="L11" s="26" t="n">
        <v>-0.04184218335220568</v>
      </c>
      <c r="M11" s="26" t="n">
        <v>0.5143</v>
      </c>
      <c r="N11" s="26" t="n">
        <v>0.1552</v>
      </c>
      <c r="O11" s="26" t="n">
        <v>0.2413518942141382</v>
      </c>
      <c r="P11" s="26" t="n">
        <v>0.1194</v>
      </c>
      <c r="Q11" s="27" t="n">
        <v>0.2770129196802341</v>
      </c>
      <c r="R11" s="68" t="n">
        <v>56</v>
      </c>
    </row>
    <row r="12">
      <c r="A12" s="67" t="inlineStr">
        <is>
          <t>GOOGL</t>
        </is>
      </c>
      <c r="B12" s="68" t="n">
        <v>12</v>
      </c>
      <c r="C12" s="69" t="n">
        <v>340.9648405560098</v>
      </c>
      <c r="D12" s="31" t="n">
        <v>4040000</v>
      </c>
      <c r="E12" s="70" t="n">
        <v>14.6731418364873</v>
      </c>
      <c r="F12" s="70" t="n">
        <v>17.67331849271246</v>
      </c>
      <c r="G12" s="70" t="n">
        <v>20.86702359056272</v>
      </c>
      <c r="H12" s="70" t="n">
        <v>7.318162133050252</v>
      </c>
      <c r="I12" s="70" t="n">
        <v>367.9072864297055</v>
      </c>
      <c r="J12" s="70" t="n">
        <v>6.69</v>
      </c>
      <c r="K12" s="70" t="n">
        <v>0.68</v>
      </c>
      <c r="L12" s="26" t="n">
        <v>0.01989132154480583</v>
      </c>
      <c r="M12" s="26" t="n">
        <v>0.6128</v>
      </c>
      <c r="N12" s="26" t="n">
        <v>0.2359</v>
      </c>
      <c r="O12" s="26" t="n">
        <v>0.3286664680766557</v>
      </c>
      <c r="P12" s="26" t="n">
        <v>0.2493</v>
      </c>
      <c r="Q12" s="27" t="n">
        <v>0.1830006629794098</v>
      </c>
      <c r="R12" s="68" t="n">
        <v>51</v>
      </c>
    </row>
    <row r="13">
      <c r="A13" s="67" t="inlineStr">
        <is>
          <t>CRWV</t>
        </is>
      </c>
      <c r="B13" s="68" t="n">
        <v>12</v>
      </c>
      <c r="C13" s="69" t="n">
        <v>86.79334227798529</v>
      </c>
      <c r="D13" s="31" t="n">
        <v>93900</v>
      </c>
      <c r="E13" s="72" t="inlineStr">
        <is>
          <t>n/m</t>
        </is>
      </c>
      <c r="F13" s="70" t="n">
        <v>5.248998303509505</v>
      </c>
      <c r="G13" s="70" t="n">
        <v>54.61723509875267</v>
      </c>
      <c r="H13" s="70" t="n">
        <v>4.51888921560683</v>
      </c>
      <c r="I13" s="72" t="inlineStr">
        <is>
          <t>n/m</t>
        </is>
      </c>
      <c r="J13" s="70" t="n">
        <v>9.52</v>
      </c>
      <c r="K13" s="70" t="n">
        <v>9.220000000000001</v>
      </c>
      <c r="L13" s="26" t="n">
        <v>-2.169905966853786</v>
      </c>
      <c r="M13" s="26" t="n">
        <v>0.6729999999999999</v>
      </c>
      <c r="N13" s="26" t="n">
        <v>1.5114</v>
      </c>
      <c r="O13" s="26" t="n">
        <v>4.009746588693957</v>
      </c>
      <c r="P13" s="26" t="n">
        <v>-0.0034</v>
      </c>
      <c r="Q13" s="72" t="inlineStr">
        <is>
          <t>n/m</t>
        </is>
      </c>
      <c r="R13" s="68" t="n">
        <v>37</v>
      </c>
    </row>
    <row r="14">
      <c r="A14" s="67" t="inlineStr">
        <is>
          <t>NBIS</t>
        </is>
      </c>
      <c r="B14" s="68" t="n">
        <v>12</v>
      </c>
      <c r="C14" s="69" t="n">
        <v>218.496898941992</v>
      </c>
      <c r="D14" s="31" t="n">
        <v>62040</v>
      </c>
      <c r="E14" s="72" t="inlineStr">
        <is>
          <t>n/m</t>
        </is>
      </c>
      <c r="F14" s="70" t="n">
        <v>5.129525734784403</v>
      </c>
      <c r="G14" s="72" t="inlineStr">
        <is>
          <t>n/m</t>
        </is>
      </c>
      <c r="H14" s="70" t="n">
        <v>5.941499412099961</v>
      </c>
      <c r="I14" s="72" t="inlineStr">
        <is>
          <t>n/m</t>
        </is>
      </c>
      <c r="J14" s="70" t="n">
        <v>5.79</v>
      </c>
      <c r="K14" s="70" t="n">
        <v>22.16</v>
      </c>
      <c r="L14" s="26" t="n">
        <v>-5.417087261762786</v>
      </c>
      <c r="M14" s="26" t="n">
        <v>0.7594</v>
      </c>
      <c r="N14" s="26" t="n">
        <v>5.325900000000001</v>
      </c>
      <c r="O14" s="26" t="n">
        <v>21.02680256700642</v>
      </c>
      <c r="P14" s="26" t="n">
        <v>-0.04099999999999999</v>
      </c>
      <c r="Q14" s="72" t="inlineStr">
        <is>
          <t>n/m</t>
        </is>
      </c>
      <c r="R14" s="68" t="n">
        <v>17</v>
      </c>
    </row>
    <row r="16">
      <c r="A16" s="6" t="inlineStr">
        <is>
          <t>Peer median (ex-ORCL)</t>
        </is>
      </c>
      <c r="E16" s="71" t="n">
        <v>18.68834225829232</v>
      </c>
      <c r="F16" s="71" t="n">
        <v>13.51197044506747</v>
      </c>
      <c r="G16" s="71" t="n">
        <v>24.01869209709144</v>
      </c>
      <c r="H16" s="71" t="n">
        <v>5.941499412099961</v>
      </c>
      <c r="J16" s="71" t="n">
        <v>6.69</v>
      </c>
      <c r="K16" s="71" t="n">
        <v>1.35</v>
      </c>
    </row>
    <row r="18">
      <c r="A18" s="4" t="inlineStr">
        <is>
          <t>Why the multiples on CRWV and NBIS are meaningless</t>
        </is>
      </c>
    </row>
    <row r="19">
      <c r="A19" s="3" t="inlineStr">
        <is>
          <t>CoreWeave and Nebius screen at ~5x EV/EBITDA, which looks cheap and is not. EV/EBIT is 54.6x and n/m respectively, NTM FCF margins are -217% and -542%, and capex is 401% and 2,103% of revenue. EBITDA before a capex line that large is not a proxy for anything.</t>
        </is>
      </c>
    </row>
    <row r="20"/>
    <row r="22">
      <c r="A22" s="4" t="inlineStr">
        <is>
          <t>The comparison that does matter</t>
        </is>
      </c>
    </row>
    <row r="23">
      <c r="A23" s="3" t="inlineStr">
        <is>
          <t>Capex as a percentage of revenue: ORCL 83%, GOOGL 33%, MSFT 35%, AMZN 24%. Oracle is spending more, relative to its own revenue base, than any established hyperscaler — while carrying materially more leverage and generating a fraction of the cash flow.</t>
        </is>
      </c>
    </row>
    <row r="24"/>
  </sheetData>
  <mergeCells count="2">
    <mergeCell ref="A23:N24"/>
    <mergeCell ref="A19:N2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2"/>
  <sheetViews>
    <sheetView showGridLines="0" workbookViewId="0">
      <selection activeCell="A1" sqref="A1"/>
    </sheetView>
  </sheetViews>
  <sheetFormatPr baseColWidth="8" defaultRowHeight="15"/>
  <cols>
    <col width="42" customWidth="1" min="1" max="1"/>
    <col width="118" customWidth="1" min="2" max="2"/>
  </cols>
  <sheetData>
    <row r="1">
      <c r="A1" s="1" t="inlineStr">
        <is>
          <t>FORMULA AUDIT — every simplification, break and known limitation</t>
        </is>
      </c>
    </row>
    <row r="2">
      <c r="A2" s="38" t="inlineStr">
        <is>
          <t>Read this before defending any number in this workbook.</t>
        </is>
      </c>
    </row>
    <row r="3"/>
    <row r="4">
      <c r="A4" s="10" t="inlineStr">
        <is>
          <t>CIRCULARITY BREAKS</t>
        </is>
      </c>
      <c r="B4" s="11" t="n"/>
    </row>
    <row r="5" ht="110" customHeight="1">
      <c r="A5" s="6" t="inlineStr">
        <is>
          <t>Interest expense</t>
        </is>
      </c>
      <c r="B5" s="3" t="inlineStr">
        <is>
          <t>Charged on OPENING debt balances plus a half-year on an ESTIMATE of the year's own issuance (Debt_Shares row 10). That estimate is sized off OPERATING income rather than net income, so it does not depend on the interest it is used to compute — which is what keeps the workbook free of circular references. It therefore needs no iterative calculation and imports cleanly into Google Sheets. VERIFIED against the fixed-point solution in model.py: the workbook OVERSTATES FY2027 interest by ~$0.9bn (15%) and FY2031 by ~$0.5bn (9%), because the proxy ignores the interest tax shield when sizing the funding need. Net effect on EPS: workbook GAAP EPS is 4.2% LOW in FY2027 and 1.9% low in FY2031; non-GAAP EPS 3.2% and 1.8% low. The workbook is therefore slightly CONSERVATIVE on earnings. Revenue, gross margin, operating income, capex, depreciation and share count tie EXACTLY. The memo quotes model.py.</t>
        </is>
      </c>
    </row>
    <row r="6" ht="42" customHeight="1">
      <c r="A6" s="6" t="inlineStr">
        <is>
          <t>Maintenance capex</t>
        </is>
      </c>
      <c r="B6" s="3" t="inlineStr">
        <is>
          <t>Solved in two passes on Capex_Depreciation. Pass 1 computes provisional depreciation on GROWTH capex only; maintenance capex is set from that; total capex is then growth + maintenance; pass 2 recomputes depreciation on total capex. model.py iterates this to convergence; the two-pass version differs by well under 1%.</t>
        </is>
      </c>
    </row>
    <row r="7">
      <c r="A7" s="10" t="inlineStr">
        <is>
          <t>KNOWN OMISSIONS IN THE WORKBOOK (present in model.py)</t>
        </is>
      </c>
      <c r="B7" s="11" t="n"/>
    </row>
    <row r="8" ht="42" customHeight="1">
      <c r="A8" s="6" t="inlineStr">
        <is>
          <t>Prior-year capex ratchet</t>
        </is>
      </c>
      <c r="B8" s="3" t="inlineStr">
        <is>
          <t>model.py also floors capex at a percentage of the prior year (bear case: 80% / 72% / 60% / 55%), representing orders that cannot be cancelled. The workbook applies only the absolute committed floor. This binds ONLY in the bear case.</t>
        </is>
      </c>
    </row>
    <row r="9" ht="42" customHeight="1">
      <c r="A9" s="6" t="inlineStr">
        <is>
          <t>Backlog NPV scenario switching</t>
        </is>
      </c>
      <c r="B9" s="3" t="inlineStr">
        <is>
          <t>The assumptions on Valuation_RPO_NPV do NOT follow the Inputs scenario selector. Bull: margin path 0.40 rising to 0.58, turn 0.44, customer-funded 26%, recovery 85%. Bear: margin path 0.30 rising to 0.35, turn 0.28, customer-funded 18%, recovery 45%. Enter them by hand to switch the primary valuation.</t>
        </is>
      </c>
    </row>
    <row r="10">
      <c r="A10" s="10" t="inlineStr">
        <is>
          <t>THINGS THAT ARE ESTIMATES, NOT DATA</t>
        </is>
      </c>
      <c r="B10" s="11" t="n"/>
    </row>
    <row r="11" ht="56" customHeight="1">
      <c r="A11" s="6" t="inlineStr">
        <is>
          <t>IaaS gross margin</t>
        </is>
      </c>
      <c r="B11" s="3" t="inlineStr">
        <is>
          <t>Oracle does NOT disclose cost of revenue by offering. The ~30% FY26 figure on the Historicals tab is DERIVED by assuming software support 93%, licence 98% and SaaS 78% gross margins and taking IaaS as the residual. Move any of those three and the IaaS margin moves one-for-one. Every conclusion about OCI profitability inherits this uncertainty.</t>
        </is>
      </c>
    </row>
    <row r="12" ht="28" customHeight="1">
      <c r="A12" s="6" t="inlineStr">
        <is>
          <t>Asset turn and utilisation</t>
        </is>
      </c>
      <c r="B12" s="3" t="inlineStr">
        <is>
          <t>Neither is disclosed anywhere. Together they set capex, depreciation, margins and ROIC. They are the reason the ROIC question is answered as a breakeven grid rather than a point estimate.</t>
        </is>
      </c>
    </row>
    <row r="13" ht="28" customHeight="1">
      <c r="A13" s="6" t="inlineStr">
        <is>
          <t>New bookings after 5/31/2026</t>
        </is>
      </c>
      <c r="B13" s="3" t="inlineStr">
        <is>
          <t>A pure estimate. It contributes ~$4bn of FY27 revenue but ~$49bn of FY31 revenue. FY2030 and FY2031 in this model are assumption, not schedule. FY2027 and FY2028 are largely the disclosed backlog.</t>
        </is>
      </c>
    </row>
    <row r="14" ht="42" customHeight="1">
      <c r="A14" s="6" t="inlineStr">
        <is>
          <t>The legacy business perpetuity</t>
        </is>
      </c>
      <c r="B14" s="3" t="inlineStr">
        <is>
          <t>Discounting a flat software annuity at the whole-group WACC values it at ~8x EBITDA against a peer group at 14-19x. Both readings are shown on Valuation_RPO_NPV. This is the second-largest driver of the answer and it is a judgement, not a fact.</t>
        </is>
      </c>
    </row>
    <row r="15">
      <c r="A15" s="10" t="inlineStr">
        <is>
          <t>THINGS THAT ARE DISCLOSED AND SHOULD NOT BE RE-ESTIMATED</t>
        </is>
      </c>
      <c r="B15" s="11" t="n"/>
    </row>
    <row r="16" ht="28" customHeight="1">
      <c r="A16" s="6" t="inlineStr">
        <is>
          <t>RPO conversion schedule</t>
        </is>
      </c>
      <c r="B16" s="3" t="inlineStr">
        <is>
          <t>12% / 34% / 34% / remainder. FY2026 10-K Note 1, verbatim. This is data.</t>
        </is>
      </c>
    </row>
    <row r="17" ht="28" customHeight="1">
      <c r="A17" s="6" t="inlineStr">
        <is>
          <t>Intangible amortisation FY27-31</t>
        </is>
      </c>
      <c r="B17" s="3" t="inlineStr">
        <is>
          <t>$731 / $694 / $620 / $582 / $377m. 10-K R53. This is data.</t>
        </is>
      </c>
    </row>
    <row r="18" ht="28" customHeight="1">
      <c r="A18" s="6" t="inlineStr">
        <is>
          <t>Debt maturities FY27-31</t>
        </is>
      </c>
      <c r="B18" s="3" t="inlineStr">
        <is>
          <t>$7,210 / $10,145 / $5,500 / $7,250 / $9,750m. 10-K R57. This is data.</t>
        </is>
      </c>
    </row>
    <row r="19" ht="28" customHeight="1">
      <c r="A19" s="6" t="inlineStr">
        <is>
          <t>Mandatory convertible terms</t>
        </is>
      </c>
      <c r="B19" s="3" t="inlineStr">
        <is>
          <t>Converts 1/15/2029 at 499.8126-624.7657 shares per preferred share. 10-K Note 10. This is data.</t>
        </is>
      </c>
    </row>
    <row r="20" ht="28" customHeight="1">
      <c r="A20" s="6" t="inlineStr">
        <is>
          <t>ATM programme</t>
        </is>
      </c>
      <c r="B20" s="3" t="inlineStr">
        <is>
          <t>$20bn authorised 2/2/2026, ZERO drawn at 5/31/2026. 10-K R70. This is data.</t>
        </is>
      </c>
    </row>
    <row r="21" ht="28" customHeight="1">
      <c r="A21" s="6" t="inlineStr">
        <is>
          <t>Server life</t>
        </is>
      </c>
      <c r="B21" s="3" t="inlineStr">
        <is>
          <t>6 years. 10-K R50. This is data.</t>
        </is>
      </c>
    </row>
    <row r="22" ht="28" customHeight="1">
      <c r="A22" s="6" t="inlineStr">
        <is>
          <t>Construction in progress</t>
        </is>
      </c>
      <c r="B22" s="3" t="inlineStr">
        <is>
          <t>$39,973m of $122,651m gross PP&amp;E at 5/31/2026 — not yet depreciating. 10-K R49. This is data.</t>
        </is>
      </c>
    </row>
    <row r="23">
      <c r="A23" s="10" t="inlineStr">
        <is>
          <t>SHEETS COMPATIBILITY</t>
        </is>
      </c>
      <c r="B23" s="11" t="n"/>
    </row>
    <row r="24" ht="42" customHeight="1">
      <c r="A24" s="6" t="inlineStr">
        <is>
          <t>Functions used</t>
        </is>
      </c>
      <c r="B24" s="3" t="inlineStr">
        <is>
          <t>SUM, SUMPRODUCT, MAX, MIN, AVERAGE, MATCH, CHOOSE, IFERROR, POWER via ^. All work identically in Google Sheets. No XLOOKUP, FILTER, SORT, UNIQUE, SEQUENCE, LET or LAMBDA. No array formulas requiring Ctrl-Shift-Enter. No Excel Data Tables — the two-way sensitivity grids are written as ordinary formulas, one per cell.</t>
        </is>
      </c>
    </row>
    <row r="25" ht="28" customHeight="1">
      <c r="A25" s="6" t="inlineStr">
        <is>
          <t>Named ranges</t>
        </is>
      </c>
      <c r="B25" s="3" t="inlineStr">
        <is>
          <t>None used. Every reference is an explicit cell address so that nothing breaks on import.</t>
        </is>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1">
      <c r="A61" s="4" t="inlineStr">
        <is>
          <t>VERIFICATION PERFORMED</t>
        </is>
      </c>
    </row>
    <row r="62" ht="90" customHeight="1">
      <c r="A62" s="6" t="inlineStr">
        <is>
          <t>Method</t>
        </is>
      </c>
      <c r="B62" s="3" t="inlineStr">
        <is>
          <t>LibreOffice is non-functional in the build environment used here (it cannot load any .xlsx, including a two-cell test file), so the usual recalculate-and-check step could not be run. Instead every formula in this workbook was parsed and evaluated with the Python 'formulas' library (v1.3.4): 3,566 cells evaluated, ZERO formula errors, and the outputs were tied line-by-line to the independent Python engine in model.py / valuation.py. Two real defects were found and fixed this way: an invalid double-sheet-prefixed range (=SUM(Inputs!$C$43:Inputs!C$43)) and a wrong base-year reference that had the SaaS line starting from R&amp;D expense instead of SaaS revenue. Excel and Google Sheets will both recalculate on 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2026-08-28T03:15:01Z</dcterms:created>
  <dcterms:modified xmlns:dcterms="http://purl.org/dc/terms/" xmlns:xsi="http://www.w3.org/2001/XMLSchema-instance" xsi:type="dcterms:W3CDTF">2026-08-28T21:25:48Z</dcterms:modified>
</cp:coreProperties>
</file>